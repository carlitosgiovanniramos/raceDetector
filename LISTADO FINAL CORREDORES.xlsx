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 LOQ\Desktop\Prueba 7\raceDetector\"/>
    </mc:Choice>
  </mc:AlternateContent>
  <xr:revisionPtr revIDLastSave="0" documentId="13_ncr:1_{38067C3F-CCD2-4237-A23D-08B55A496235}" xr6:coauthVersionLast="47" xr6:coauthVersionMax="47" xr10:uidLastSave="{00000000-0000-0000-0000-000000000000}"/>
  <bookViews>
    <workbookView xWindow="-108" yWindow="-108" windowWidth="23256" windowHeight="12456" firstSheet="1" activeTab="2" xr2:uid="{5825264F-CBF7-44BE-9DA8-AA7EF42DB131}"/>
  </bookViews>
  <sheets>
    <sheet name="Hoja1" sheetId="1" state="hidden" r:id="rId1"/>
    <sheet name="2km" sheetId="4" r:id="rId2"/>
    <sheet name="10 km" sheetId="2" r:id="rId3"/>
    <sheet name="20 km" sheetId="3" r:id="rId4"/>
    <sheet name="ORG" sheetId="5" r:id="rId5"/>
    <sheet name="Hoja2" sheetId="6" r:id="rId6"/>
  </sheets>
  <definedNames>
    <definedName name="_xlnm._FilterDatabase" localSheetId="2" hidden="1">'10 km'!$A$3:$O$145</definedName>
    <definedName name="_xlnm._FilterDatabase" localSheetId="3" hidden="1">'20 km'!$A$3:$O$57</definedName>
    <definedName name="_xlnm._FilterDatabase" localSheetId="1" hidden="1">'2km'!$A$3:$N$27</definedName>
    <definedName name="_xlnm._FilterDatabase" localSheetId="0" hidden="1">Hoja1!$G$6:$I$111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6" l="1"/>
  <c r="J11" i="6"/>
  <c r="J12" i="6"/>
  <c r="J13" i="6"/>
  <c r="J14" i="6"/>
  <c r="J15" i="6"/>
  <c r="J10" i="6"/>
  <c r="I16" i="6"/>
  <c r="N57" i="3"/>
  <c r="E11" i="6"/>
  <c r="E12" i="6"/>
  <c r="E13" i="6"/>
  <c r="E14" i="6"/>
  <c r="E15" i="6"/>
  <c r="E10" i="6"/>
  <c r="D16" i="6"/>
  <c r="E4" i="6"/>
  <c r="E5" i="6"/>
  <c r="E6" i="6"/>
  <c r="E3" i="6"/>
  <c r="D7" i="6"/>
  <c r="C7" i="6"/>
  <c r="C16" i="6"/>
  <c r="H16" i="6"/>
  <c r="M27" i="4"/>
  <c r="L144" i="2"/>
  <c r="M144" i="2" s="1"/>
  <c r="L142" i="2"/>
  <c r="M142" i="2" s="1"/>
  <c r="K26" i="4"/>
  <c r="L26" i="4" s="1"/>
  <c r="M129" i="2"/>
  <c r="M48" i="3"/>
  <c r="M49" i="3"/>
  <c r="M50" i="3"/>
  <c r="M51" i="3"/>
  <c r="M52" i="3"/>
  <c r="L53" i="3"/>
  <c r="M53" i="3" s="1"/>
  <c r="L54" i="3"/>
  <c r="M54" i="3" s="1"/>
  <c r="L55" i="3"/>
  <c r="M55" i="3" s="1"/>
  <c r="L56" i="3"/>
  <c r="M56" i="3" s="1"/>
  <c r="K24" i="4"/>
  <c r="L24" i="4" s="1"/>
  <c r="K25" i="4"/>
  <c r="L25" i="4" s="1"/>
  <c r="L141" i="2"/>
  <c r="M141" i="2" s="1"/>
  <c r="L143" i="2"/>
  <c r="M143" i="2" s="1"/>
  <c r="N145" i="2"/>
  <c r="L125" i="2"/>
  <c r="M125" i="2" s="1"/>
  <c r="L126" i="2"/>
  <c r="M126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7" i="2"/>
  <c r="M127" i="2" s="1"/>
  <c r="L128" i="2"/>
  <c r="M128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46" i="3"/>
  <c r="M46" i="3" s="1"/>
  <c r="L47" i="3"/>
  <c r="M47" i="3" s="1"/>
  <c r="K23" i="4"/>
  <c r="L23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L113" i="2"/>
  <c r="M113" i="2" s="1"/>
  <c r="K11" i="4"/>
  <c r="L11" i="4" s="1"/>
  <c r="K5" i="4" l="1"/>
  <c r="L5" i="4" s="1"/>
  <c r="K6" i="4"/>
  <c r="L6" i="4" s="1"/>
  <c r="K7" i="4"/>
  <c r="L7" i="4" s="1"/>
  <c r="K8" i="4"/>
  <c r="L8" i="4" s="1"/>
  <c r="K9" i="4"/>
  <c r="L9" i="4" s="1"/>
  <c r="K10" i="4"/>
  <c r="L10" i="4" s="1"/>
  <c r="K12" i="4"/>
  <c r="L12" i="4" s="1"/>
  <c r="K13" i="4"/>
  <c r="L13" i="4" s="1"/>
  <c r="K14" i="4"/>
  <c r="L14" i="4" s="1"/>
  <c r="K15" i="4"/>
  <c r="L15" i="4" s="1"/>
  <c r="K16" i="4"/>
  <c r="L16" i="4" s="1"/>
  <c r="L45" i="3"/>
  <c r="M45" i="3" s="1"/>
  <c r="L112" i="2"/>
  <c r="M112" i="2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83" i="2"/>
  <c r="M83" i="2" s="1"/>
  <c r="L4" i="2"/>
  <c r="M4" i="2" s="1"/>
  <c r="K4" i="4"/>
  <c r="L4" i="4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4" i="3"/>
  <c r="M4" i="3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</calcChain>
</file>

<file path=xl/sharedStrings.xml><?xml version="1.0" encoding="utf-8"?>
<sst xmlns="http://schemas.openxmlformats.org/spreadsheetml/2006/main" count="2364" uniqueCount="488">
  <si>
    <t>Administración de Inscripciones</t>
  </si>
  <si>
    <t>Río Verde Trail Running 2025</t>
  </si>
  <si>
    <t>Fecha Registro</t>
  </si>
  <si>
    <t>Nombre</t>
  </si>
  <si>
    <t>Cédula</t>
  </si>
  <si>
    <t>Fecha Nacimiento</t>
  </si>
  <si>
    <t>Género</t>
  </si>
  <si>
    <t>Distancia</t>
  </si>
  <si>
    <t>Categoría</t>
  </si>
  <si>
    <t>Talla</t>
  </si>
  <si>
    <t>Correo</t>
  </si>
  <si>
    <t>Teléfono</t>
  </si>
  <si>
    <t>Deslinde</t>
  </si>
  <si>
    <t>Comprobante</t>
  </si>
  <si>
    <t>Autorización</t>
  </si>
  <si>
    <t>Marlon Adrian Casco Manobanda</t>
  </si>
  <si>
    <t>Masculino</t>
  </si>
  <si>
    <t>10K</t>
  </si>
  <si>
    <t>Master A</t>
  </si>
  <si>
    <t>M</t>
  </si>
  <si>
    <t>marloncasco73@gmail.com</t>
  </si>
  <si>
    <t>Ver</t>
  </si>
  <si>
    <t>—</t>
  </si>
  <si>
    <t>Johnny Wladimir Panchi Zapata</t>
  </si>
  <si>
    <t>20K</t>
  </si>
  <si>
    <t>L</t>
  </si>
  <si>
    <t>jhonny_panchi94@hotmail.com</t>
  </si>
  <si>
    <t>Libio Fernando Quishpe Robalino</t>
  </si>
  <si>
    <t>Master B</t>
  </si>
  <si>
    <t>israeldans@gmail.com</t>
  </si>
  <si>
    <t>Diego Alejandro Sanmartín Amán</t>
  </si>
  <si>
    <t>sanmartind2030@gmail.com</t>
  </si>
  <si>
    <t>Carlos Gustavo Ruiz Córdova</t>
  </si>
  <si>
    <t>carlos88nat@gmail.com</t>
  </si>
  <si>
    <t>Patricia Elizabeth Bastidas Bastidas</t>
  </si>
  <si>
    <t>Femenino</t>
  </si>
  <si>
    <t>S</t>
  </si>
  <si>
    <t>patriciaelizabastidas2608@gmail.com</t>
  </si>
  <si>
    <t>Luis Yamberla Cordova</t>
  </si>
  <si>
    <t>luroyaco@hotmail.com</t>
  </si>
  <si>
    <t>Alegría Isabel Mejía Román</t>
  </si>
  <si>
    <t>Master C</t>
  </si>
  <si>
    <t>ale.harmony02@gmail.com</t>
  </si>
  <si>
    <t>Davie Jair Amán Hernández</t>
  </si>
  <si>
    <t>Juvenil</t>
  </si>
  <si>
    <t>davie.jair11@gmail.com</t>
  </si>
  <si>
    <t>AZOGUE GAVILANEZ EDISSON DAVID</t>
  </si>
  <si>
    <t>azoguegavilanezedisondavid@gmail.com</t>
  </si>
  <si>
    <t>Estefany Monserrath Tixilema Azogue</t>
  </si>
  <si>
    <t>2K</t>
  </si>
  <si>
    <t>Infantil B</t>
  </si>
  <si>
    <t>Lizbeth Anahí Paredes Villegas</t>
  </si>
  <si>
    <t>lizanitaparedes04@gmail.com</t>
  </si>
  <si>
    <t>Orlando Cristobal Parra Tenemaza</t>
  </si>
  <si>
    <t>isaacrock001@hotmail.com</t>
  </si>
  <si>
    <t>Andrés Marcelo Quilligana Valle</t>
  </si>
  <si>
    <t>andresmqv98@gmail.com</t>
  </si>
  <si>
    <t>Edison Gabril Carvajal Aguacate</t>
  </si>
  <si>
    <t>edicarvajal1407@gmail.com</t>
  </si>
  <si>
    <t>Nora Luzardo de Sanchez</t>
  </si>
  <si>
    <t>luzardo_nora@hitmail.com</t>
  </si>
  <si>
    <t>Dalton Lenin Muñoz Macharé</t>
  </si>
  <si>
    <t>notlad@hotmail.es</t>
  </si>
  <si>
    <t>ERICK RUBEN MUSO EUGENIO</t>
  </si>
  <si>
    <t>erick13-r@hotmail.com</t>
  </si>
  <si>
    <t>Francisco Rubén Perez Portilla</t>
  </si>
  <si>
    <t>designtrueno@gmail.com</t>
  </si>
  <si>
    <t>JOEL EFRAIN VEINTIMILLA HERRERA</t>
  </si>
  <si>
    <t>joelvh973@gmail.com</t>
  </si>
  <si>
    <t>Guerra Oña Ronaldo Saul</t>
  </si>
  <si>
    <t>ronaldo.guerra1996@gmail.com</t>
  </si>
  <si>
    <t>David Sebastian Asimbaya Diaz</t>
  </si>
  <si>
    <t>seba_dav25@hotmail.com</t>
  </si>
  <si>
    <t>Miguel Alejandro López Naranjo</t>
  </si>
  <si>
    <t>miguelopez92@yahoo.es</t>
  </si>
  <si>
    <t>María Loren Solís Ulloa</t>
  </si>
  <si>
    <t>XS</t>
  </si>
  <si>
    <t>maria_loren7@hotmail.com</t>
  </si>
  <si>
    <t>SANTIAGO DAVID JARA MOYA</t>
  </si>
  <si>
    <t>jara_santiagodavid@hotmail.com</t>
  </si>
  <si>
    <t>Brad saul Salazar robalino</t>
  </si>
  <si>
    <t>andysalazar987@gmail.com</t>
  </si>
  <si>
    <t>Amy Nayely Recalde Robalino</t>
  </si>
  <si>
    <t>WALTER GETZAEL ZAMORA SANCHEZ</t>
  </si>
  <si>
    <t>sanchezsanchezgracielamaribel@gmail.com</t>
  </si>
  <si>
    <t>sebas_dav25@hotmail.com</t>
  </si>
  <si>
    <t>Willian Palacios</t>
  </si>
  <si>
    <t>willianpalacios0@hotmail.com</t>
  </si>
  <si>
    <t>Jhonny Tumbez</t>
  </si>
  <si>
    <t>tumbezjhonny168@gmail.com</t>
  </si>
  <si>
    <t>David Alexis Díaz Sánchez</t>
  </si>
  <si>
    <t>davidiaz1989@gmail.com</t>
  </si>
  <si>
    <t>Jairo Mesias Balseca Haro</t>
  </si>
  <si>
    <t>jairo_bh@hotmail.com</t>
  </si>
  <si>
    <t>Santi Illanes Luis Jefferson</t>
  </si>
  <si>
    <t>fernadorr95@gmail.com</t>
  </si>
  <si>
    <t>SANTI SANTI JAKIUR AUGUSTO</t>
  </si>
  <si>
    <t>Stefani Jamileth Naranjo Silva</t>
  </si>
  <si>
    <t>estefanijamileth2006@gmail.com</t>
  </si>
  <si>
    <t>Glenda Suárez Viamonte</t>
  </si>
  <si>
    <t>glendavila713@gmail.com</t>
  </si>
  <si>
    <t>Mirnorvys Trinidad del Valle Fajardo Monasterio</t>
  </si>
  <si>
    <t>monasteriofajardo@gmail.com</t>
  </si>
  <si>
    <t>Wimper Aníbal Cargua Chugñay</t>
  </si>
  <si>
    <t>whymperyopss@gmail.com</t>
  </si>
  <si>
    <t>Mónica Fernanda Paredes Chingo</t>
  </si>
  <si>
    <t>ferchitaparedes18@gmail.com</t>
  </si>
  <si>
    <t>Víctor Javier Hernández Luna</t>
  </si>
  <si>
    <t>victorino20@hotmail.com</t>
  </si>
  <si>
    <t>Jefferson Santiago Freire Díaz</t>
  </si>
  <si>
    <t>santyfreire@gmail.com</t>
  </si>
  <si>
    <t>Ronny Diego Lucas Villao</t>
  </si>
  <si>
    <t>ronnylucas93@gmail.com</t>
  </si>
  <si>
    <t>Angel Baudilio Borja Patiño</t>
  </si>
  <si>
    <t>angelborja1976@gmail.com</t>
  </si>
  <si>
    <t>Alexander Santiago Galindo Cunama</t>
  </si>
  <si>
    <t>alexga_900@hotmail.com</t>
  </si>
  <si>
    <t>Juan Carlos Oñate Pérez</t>
  </si>
  <si>
    <t>XL</t>
  </si>
  <si>
    <t>onatejuan650@gmail.com</t>
  </si>
  <si>
    <t>AGUSTÍN GONZALO VARELA GAMBOA</t>
  </si>
  <si>
    <t>agustin_varelag@yahoo.es</t>
  </si>
  <si>
    <t>JOSÉ NICOLÁS VARELA GAMBOA</t>
  </si>
  <si>
    <t>nicolas_varelagamboa@hotmail.com</t>
  </si>
  <si>
    <t>Cando Tapia Jeremy Ariel</t>
  </si>
  <si>
    <t>candoariel53@gmail.com</t>
  </si>
  <si>
    <t>MONICA ALEXANDRA CARRILLO VARGAS</t>
  </si>
  <si>
    <t>monica.carrillo@educacion.gob.ec</t>
  </si>
  <si>
    <t>Stefani Carolaine Serrano Guano</t>
  </si>
  <si>
    <t>tefiserrano18@gmail.com</t>
  </si>
  <si>
    <t>Fernando Santiago Villalba Salazar</t>
  </si>
  <si>
    <t>fernandovilla2001@hotmail.com</t>
  </si>
  <si>
    <t>LUIS ALEXANDER MASAPANTA SALGUERO</t>
  </si>
  <si>
    <t>body1989@hotmail.es</t>
  </si>
  <si>
    <t>Miguel Alejandro Sevilla Rodríguez</t>
  </si>
  <si>
    <t>m.sevilla.r@hotmail.com</t>
  </si>
  <si>
    <t>Mayra Patricia Quillupangui Pilaguano</t>
  </si>
  <si>
    <t>mayraquillupangui3@gmail.com</t>
  </si>
  <si>
    <t>Edgar Rodrígo linares</t>
  </si>
  <si>
    <t>domermueble@hotmail.com</t>
  </si>
  <si>
    <t>HUGO DAMIAN VILLAVICENCIO CABRERA</t>
  </si>
  <si>
    <t>XXL</t>
  </si>
  <si>
    <t>villaboss123@hotmail.com</t>
  </si>
  <si>
    <t>Victor Hugo Villavicencio Hinojosa</t>
  </si>
  <si>
    <t>administracion@pailondeldiablo.ec</t>
  </si>
  <si>
    <t>MONICA ANDREA RIVERA FIALLOS</t>
  </si>
  <si>
    <t>monchisandre90@hotmail.com</t>
  </si>
  <si>
    <t>Edwin Patricio Cuzco Rosero</t>
  </si>
  <si>
    <t>CARLOS JOSE FREIRE VELASTEGUI</t>
  </si>
  <si>
    <t>joscarf1989@gmail.com</t>
  </si>
  <si>
    <t>Alex Fabricio Aguagallo Pacheco</t>
  </si>
  <si>
    <t>alextnt91@yahoo.es</t>
  </si>
  <si>
    <t>WILMER ISRAEL PERES FREIRE</t>
  </si>
  <si>
    <t>sebastianbarreno9.6@hotmail.com</t>
  </si>
  <si>
    <t>SHIRLEY RAQUEL CAGUANA CASTILLO</t>
  </si>
  <si>
    <t>raquel1995caguana@gmail.com</t>
  </si>
  <si>
    <t>JOSUE ESPINOZA JARA</t>
  </si>
  <si>
    <t>josuejara2@gmail.com</t>
  </si>
  <si>
    <t>MORETA SIMBANIA MYRIAM DE LOS ANGELES</t>
  </si>
  <si>
    <t>mymoreta@hotmail.com</t>
  </si>
  <si>
    <t>MAYRA DEL PILAR HIDALGO ALASQUI</t>
  </si>
  <si>
    <t>mayritah-smile@hotmail.com</t>
  </si>
  <si>
    <t>IBETH CAROLINA BALAREZO LASCANO</t>
  </si>
  <si>
    <t>caritobl54@gmail.com</t>
  </si>
  <si>
    <t>MARIA FERNANDA ANDRADE VILLALVA</t>
  </si>
  <si>
    <t>mayfer9322@gmail.com</t>
  </si>
  <si>
    <t>MARCO VINICIO HERRERA MENDOZA</t>
  </si>
  <si>
    <t>mherrera2877@hotmail.com</t>
  </si>
  <si>
    <t>DIEGO HERRERA MENDOZA</t>
  </si>
  <si>
    <t>experience118@hotmail.com</t>
  </si>
  <si>
    <t>DIANA GABRIELA ALARCON LOPEZ</t>
  </si>
  <si>
    <t>trabajosocial@vehicentro.com</t>
  </si>
  <si>
    <t>DANIELA SOFIA DELGADO ZURITA</t>
  </si>
  <si>
    <t>danidelgado16@hotmail.com</t>
  </si>
  <si>
    <t>José Bermeo</t>
  </si>
  <si>
    <t>nacho222022@gmail.com</t>
  </si>
  <si>
    <t>Wilver Fernando Chiriboga Zabala</t>
  </si>
  <si>
    <t>wilverchiriboga71@gmail.com</t>
  </si>
  <si>
    <t>Diego Paul Ubilluz Tulmo</t>
  </si>
  <si>
    <t>diegotulmo@hotmail.com</t>
  </si>
  <si>
    <t>PAULINA GABRIELA CHAVEZ QUISHPE</t>
  </si>
  <si>
    <t>gabrielachavez994@gmail.com</t>
  </si>
  <si>
    <t>Malusin Perrazo Allison Dayana</t>
  </si>
  <si>
    <t>alisondayanaperrazo@gmail.com</t>
  </si>
  <si>
    <t>Darwin Elias Andi Grefa</t>
  </si>
  <si>
    <t>eliasandi0111@gmail.com</t>
  </si>
  <si>
    <t>DIEGO VINICIO PEÑAFIEL CENTENO</t>
  </si>
  <si>
    <t>diegovp95@hotmail.es</t>
  </si>
  <si>
    <t>Ramiro Santiago Nuñez Padilla</t>
  </si>
  <si>
    <t>rkikon@hotmail.es</t>
  </si>
  <si>
    <t>Gabriela Mariño</t>
  </si>
  <si>
    <t>twinsdos@hotmail.com</t>
  </si>
  <si>
    <t>Angel Fernando Yantalema Choto</t>
  </si>
  <si>
    <t>angelyantalema007@gmail.com</t>
  </si>
  <si>
    <t>Shirma Esmeralda Aguinda Cerda</t>
  </si>
  <si>
    <t>shirmaag94@gmail.com</t>
  </si>
  <si>
    <t>Edwin Josue Rochina Rochina</t>
  </si>
  <si>
    <t>edwin035rochina@gmail.com</t>
  </si>
  <si>
    <t>Luis Orlando Inga Cocha</t>
  </si>
  <si>
    <t>loinga28@gmail.com</t>
  </si>
  <si>
    <t>Verónica Gómez</t>
  </si>
  <si>
    <t>silvi_ga13@hotmail.com</t>
  </si>
  <si>
    <t>Marcel Ruperto</t>
  </si>
  <si>
    <t>marcel.es85@hotmail.com</t>
  </si>
  <si>
    <t>Marcel Ruperto Esparza Montero</t>
  </si>
  <si>
    <t>Valeria Belén Moína Álvarez</t>
  </si>
  <si>
    <t>v.bma@hotmail.com</t>
  </si>
  <si>
    <t>AMELIA ALEJANDRA NÚÑEZ CONSTANTE</t>
  </si>
  <si>
    <t>Edison Gabriel Carvajal Aguacate</t>
  </si>
  <si>
    <t>Brad Saul Salazar robalino</t>
  </si>
  <si>
    <t>RIVERA RECALDE AYLIN SINAI</t>
  </si>
  <si>
    <t>dianisrecalde1994@hotmail.com</t>
  </si>
  <si>
    <t>Stefano Rivera</t>
  </si>
  <si>
    <t>stefanoriveramanager@gmail.com</t>
  </si>
  <si>
    <t>Roberto Carlos Pinto Gallo</t>
  </si>
  <si>
    <t>roby.kmy@hotmail.com</t>
  </si>
  <si>
    <t>Wilson Ivan Sánchez Paredes</t>
  </si>
  <si>
    <t>wilsons92@live.com</t>
  </si>
  <si>
    <t>Milena Estefanía Chavez Castro</t>
  </si>
  <si>
    <t>milenachavezcastro@gmail.com</t>
  </si>
  <si>
    <t>victorh.runner84@gmail.com</t>
  </si>
  <si>
    <t>Edison Castañeda</t>
  </si>
  <si>
    <t>edison_c92@hotmail.com</t>
  </si>
  <si>
    <t>Francis Javier Pérez Sanchez</t>
  </si>
  <si>
    <t>panchoabcl0l@gmail.com</t>
  </si>
  <si>
    <t>Karen Pazmiño</t>
  </si>
  <si>
    <t>karitopaz52@gmail.com</t>
  </si>
  <si>
    <t>Darwin Recalde</t>
  </si>
  <si>
    <t>recaldejesus@hotmail.es</t>
  </si>
  <si>
    <t>Flores Gómez Rosa Cecilia</t>
  </si>
  <si>
    <t>barrigamayra30@gmail.com</t>
  </si>
  <si>
    <t>Barriga Flores Mayra Carolina</t>
  </si>
  <si>
    <t>Ligia Leonor Laura Laura</t>
  </si>
  <si>
    <t>ligia_jaly@hotmail.com</t>
  </si>
  <si>
    <t>LORENA MALUCIN</t>
  </si>
  <si>
    <t>ferflores.0926@gmail.com</t>
  </si>
  <si>
    <t>VINICIO ORTIZ</t>
  </si>
  <si>
    <t>CAMILA ORTIZ</t>
  </si>
  <si>
    <t>Infantil A</t>
  </si>
  <si>
    <t>Cristian Andrés Villegas Mayorga</t>
  </si>
  <si>
    <t>villegascristian447@gmail.com</t>
  </si>
  <si>
    <t>Erika Lady Abril Buñay</t>
  </si>
  <si>
    <t>ladiiabril@hotmail.com</t>
  </si>
  <si>
    <t>José Moisés Toaquiza Ugsha</t>
  </si>
  <si>
    <t>jmoisest92@gmail.com</t>
  </si>
  <si>
    <t>Christian Omar Camacho</t>
  </si>
  <si>
    <t>chrisdelsalto@outlook.es</t>
  </si>
  <si>
    <t>Lissette Maritza Pazmiño Guevara</t>
  </si>
  <si>
    <t>lissettepazmino9@gmail.com</t>
  </si>
  <si>
    <t>Sebastian Melendres</t>
  </si>
  <si>
    <t>amelendres2003@gmail.com</t>
  </si>
  <si>
    <t>María José Andi Sánchez</t>
  </si>
  <si>
    <t>ma_js96@hotmail.com</t>
  </si>
  <si>
    <t>Julio César arcos campos</t>
  </si>
  <si>
    <t>jcarcos42@gmail.com</t>
  </si>
  <si>
    <t>María Aurelia Sánchez Villarroel</t>
  </si>
  <si>
    <t>edwass16@gmail.com</t>
  </si>
  <si>
    <t>Rosa Gladiz Pilco Torres</t>
  </si>
  <si>
    <t>brigitsanchez32@gmail.com</t>
  </si>
  <si>
    <t>Andrea Berenice Argudo Ucho</t>
  </si>
  <si>
    <t>andre192002@hotmail.com</t>
  </si>
  <si>
    <t>JAIRO ELIECER CHIMBANA AGUALONGO</t>
  </si>
  <si>
    <t>ing_chimbana@outlook.com</t>
  </si>
  <si>
    <t>Victor Peñafiel</t>
  </si>
  <si>
    <t>EDAD</t>
  </si>
  <si>
    <t>CATEGORIA</t>
  </si>
  <si>
    <t>025-12-02 17:02:48</t>
  </si>
  <si>
    <t>Edwin Alfonso Serrano Sanchez</t>
  </si>
  <si>
    <t>edwinserrano5@hotmail.com</t>
  </si>
  <si>
    <t>Carlos Alonso Bastidas</t>
  </si>
  <si>
    <t>bastidasca@hotmail.com</t>
  </si>
  <si>
    <t>BRYAN DANIEL TOAPANTA TITUAÑA</t>
  </si>
  <si>
    <t>Jorge Quito</t>
  </si>
  <si>
    <t>paredesortizmonica@gmail.com</t>
  </si>
  <si>
    <t>Lorena Paredes</t>
  </si>
  <si>
    <t>Adriana Castillo</t>
  </si>
  <si>
    <t>PEREZ VILLAMARIN GLADYS GUADALUPE</t>
  </si>
  <si>
    <t>glaperez012022@gmail.com</t>
  </si>
  <si>
    <t>099 268 1654</t>
  </si>
  <si>
    <t>David Israel Bastidas Bastidas</t>
  </si>
  <si>
    <t>davids9351@gmail.com</t>
  </si>
  <si>
    <t>Kevin Alexander Rodriguez Saquinga</t>
  </si>
  <si>
    <t>aguiladorada593@gmail.com</t>
  </si>
  <si>
    <t>Josué Maldonado</t>
  </si>
  <si>
    <t>16asiez@gmail.com</t>
  </si>
  <si>
    <t>Silvia Paredes Ortega</t>
  </si>
  <si>
    <t>Marta Mariño Paredes desc</t>
  </si>
  <si>
    <t>Maikel Patricio Freire Vallejo</t>
  </si>
  <si>
    <t>lucitania28@hotmail.com</t>
  </si>
  <si>
    <t>Lloguito Culqui</t>
  </si>
  <si>
    <t>dilanculqui02@gmail.com</t>
  </si>
  <si>
    <t>FAUSTO PATRICIO GAMBOA MARIÑO</t>
  </si>
  <si>
    <t>johae88@hotmai.com</t>
  </si>
  <si>
    <t>Samuel Sebastian Castillo Ayala</t>
  </si>
  <si>
    <t>cassamuel010@gmail.com</t>
  </si>
  <si>
    <t>HOLGUER RODRIGO LUGO ABRIL</t>
  </si>
  <si>
    <t>rodrigolugo@yahoo.com</t>
  </si>
  <si>
    <t>Alvaro santiago ruiz cordova</t>
  </si>
  <si>
    <t>alvaroruiz938@gmail.com</t>
  </si>
  <si>
    <t>Christopher Alexander Guevara Moposita</t>
  </si>
  <si>
    <t>cristoper77guevara-@outlook.es</t>
  </si>
  <si>
    <t>Juan Xavier Morocho Oña</t>
  </si>
  <si>
    <t>jxmorocho@live.com</t>
  </si>
  <si>
    <t>Alvaro Andres Aguirre Batallas</t>
  </si>
  <si>
    <t>alvaroaguirrebatallas@gmail.com</t>
  </si>
  <si>
    <t>Renzo Alexander Barragán Hidalgo</t>
  </si>
  <si>
    <t>rabarraganh@gmail.com</t>
  </si>
  <si>
    <t>José Gualberto López Pino</t>
  </si>
  <si>
    <t>jl189092@gmail.com</t>
  </si>
  <si>
    <t>PAUL ALBERTO PAUCAR ROJANA</t>
  </si>
  <si>
    <t>paulpaucar@hotmail.es</t>
  </si>
  <si>
    <t>Natali Joselyn Sánchez Barrera</t>
  </si>
  <si>
    <t>Dennys Amable Lopez Lopez</t>
  </si>
  <si>
    <t>dennyslopez16@yahoo.es</t>
  </si>
  <si>
    <t>Ruth Alexandra Haro</t>
  </si>
  <si>
    <t>alexa12ap@gmail.com</t>
  </si>
  <si>
    <t>Samantha Ivette Chávez Carrasco</t>
  </si>
  <si>
    <t>jlch1983@hotmail.com</t>
  </si>
  <si>
    <t>edison alejandro arias soria</t>
  </si>
  <si>
    <t>gymariassoria77@gmail.com</t>
  </si>
  <si>
    <t>María Lucrecia Lliquín Barrera</t>
  </si>
  <si>
    <t>mexia.isabella011@gmail.com</t>
  </si>
  <si>
    <t>Tannia Sofia Nuñez Pungaña</t>
  </si>
  <si>
    <t>sofian-2030@hotmail.com</t>
  </si>
  <si>
    <t>Johan Abdiel Bonilla Guato</t>
  </si>
  <si>
    <t>fernandaguato25@gmail.com</t>
  </si>
  <si>
    <t>Milan Ezequiel Bonilla Guato</t>
  </si>
  <si>
    <t>Jemima Paredes Flores</t>
  </si>
  <si>
    <t>MARCOS JOAB PAREDES FLORES</t>
  </si>
  <si>
    <t>Richard David Pauchi Paredes</t>
  </si>
  <si>
    <t>arturodavid96@gmail.com</t>
  </si>
  <si>
    <t>José Luis Chávez Chicaiza</t>
  </si>
  <si>
    <t>Ruth Gómez Lescano</t>
  </si>
  <si>
    <t>rutygomezlesc@gmail.com</t>
  </si>
  <si>
    <t>Wilma Rocío Perez Vallejo</t>
  </si>
  <si>
    <t>wi_19ra@hotmail.com</t>
  </si>
  <si>
    <t>Karen Andrea Araujo</t>
  </si>
  <si>
    <t>andrea.aa7@hotmail.com</t>
  </si>
  <si>
    <t>MILTON ERNESTO MOYA VARGAS</t>
  </si>
  <si>
    <t>wiliansan23@gmail.com</t>
  </si>
  <si>
    <t>Milton Steven Moya Romero</t>
  </si>
  <si>
    <t>WILIAN SANTIAGO LUISA CHIMBO</t>
  </si>
  <si>
    <t>Anahi Recalde</t>
  </si>
  <si>
    <t>LIBRE 1</t>
  </si>
  <si>
    <t>LIBRE 2</t>
  </si>
  <si>
    <t>LIBRE 3</t>
  </si>
  <si>
    <t>LIBRE 4</t>
  </si>
  <si>
    <t>LIBRE 5</t>
  </si>
  <si>
    <t>LIBRE 6</t>
  </si>
  <si>
    <t>LIBRE 7</t>
  </si>
  <si>
    <t>LIBRE 8</t>
  </si>
  <si>
    <t>LIBRE 9</t>
  </si>
  <si>
    <t>LIBRE 10</t>
  </si>
  <si>
    <t>LIBRE 11</t>
  </si>
  <si>
    <t>LIBRE 12</t>
  </si>
  <si>
    <t>LIBRE 13</t>
  </si>
  <si>
    <t>LIBRE 14</t>
  </si>
  <si>
    <t>LIBRE 15</t>
  </si>
  <si>
    <t>LIBRE 16</t>
  </si>
  <si>
    <t>LIBRE 17</t>
  </si>
  <si>
    <t>LIBRE 18</t>
  </si>
  <si>
    <t>LIBRE 19</t>
  </si>
  <si>
    <t>LIBRE 20</t>
  </si>
  <si>
    <t>X</t>
  </si>
  <si>
    <t>Se cambio de los 10k</t>
  </si>
  <si>
    <t>cortesia</t>
  </si>
  <si>
    <t>CAMISETAS ORGANIZADORES</t>
  </si>
  <si>
    <t>NOMBRE</t>
  </si>
  <si>
    <t>TALLA</t>
  </si>
  <si>
    <t>Edison Pailon Ruta Corta</t>
  </si>
  <si>
    <t>Willam Freire</t>
  </si>
  <si>
    <t>Paulica Coca</t>
  </si>
  <si>
    <t>Fernanda Flores</t>
  </si>
  <si>
    <t>Sebastian Barreno</t>
  </si>
  <si>
    <t>Wilo Guevara</t>
  </si>
  <si>
    <t>Secretaria Pailon Ruta Lara</t>
  </si>
  <si>
    <t>Ruta Corta 1</t>
  </si>
  <si>
    <t>Ruta Corta 2</t>
  </si>
  <si>
    <t>Ruta Corta 3</t>
  </si>
  <si>
    <t>Ruta Corta 4</t>
  </si>
  <si>
    <t>Richard Soria</t>
  </si>
  <si>
    <t>FABRICIO GENARO SHIGUANGO RODRÍGUEZ</t>
  </si>
  <si>
    <t>shiguangofabricio538@gmail.com</t>
  </si>
  <si>
    <t>Aytana Elizabeth Pérez Chimbo</t>
  </si>
  <si>
    <t>Adriana Isabella Pérez Chimbo</t>
  </si>
  <si>
    <t>Viviana Muquinche</t>
  </si>
  <si>
    <t>vivis_five@hotmail.com</t>
  </si>
  <si>
    <t>Galo García Herrera</t>
  </si>
  <si>
    <t>galogarcia.03gh@hotmail.com</t>
  </si>
  <si>
    <t>Matías Daniel Carrillo García</t>
  </si>
  <si>
    <t>Marco tubon</t>
  </si>
  <si>
    <t>180493483-2</t>
  </si>
  <si>
    <t>tuboncunalatamarcofabricio@gmail.com</t>
  </si>
  <si>
    <t>Edwin Rodrigo Suárez Suárez</t>
  </si>
  <si>
    <t>rodri_1986@hotmail.es</t>
  </si>
  <si>
    <t>Segundo Gustavo Diaz Miranda</t>
  </si>
  <si>
    <t>Génesis Belén Haro Peralvo</t>
  </si>
  <si>
    <t>genesis_haro10@hotmail.com</t>
  </si>
  <si>
    <t>ANGEL RODRIGO SULQUI LOPEZ</t>
  </si>
  <si>
    <t>a_sul57@hotmail.com</t>
  </si>
  <si>
    <t>Carlos Vladimir González Álvarez</t>
  </si>
  <si>
    <t>cargoalv@yahoo.es</t>
  </si>
  <si>
    <t>Morelia Monserrath Veloz Salguero</t>
  </si>
  <si>
    <t>monserrathveloz18@gmail.com</t>
  </si>
  <si>
    <t>Gustavo Chuquirima</t>
  </si>
  <si>
    <t>tavo_19901@hotmail.com</t>
  </si>
  <si>
    <t>KIMBERLY SAMANTHA MINIGUANO GAVILANEZ</t>
  </si>
  <si>
    <t>samanthaminiguano@gmail.com</t>
  </si>
  <si>
    <t>MABEL PAOLA JACOME MOREJON</t>
  </si>
  <si>
    <t>mabepao@hotmail.es</t>
  </si>
  <si>
    <t>Noemi Raquel Campuzano Olvera</t>
  </si>
  <si>
    <t>noemicampuzano90@gmail.com</t>
  </si>
  <si>
    <t>+593 98 755 0984</t>
  </si>
  <si>
    <t>Sandra Ximena kaisar wamputsar</t>
  </si>
  <si>
    <t>ksandraximena@gmail.com</t>
  </si>
  <si>
    <t>Britany Nayelli Guanotuña Tituaña</t>
  </si>
  <si>
    <t>nayellitituana@gmail.com</t>
  </si>
  <si>
    <t>+593 98 187 5836</t>
  </si>
  <si>
    <t>John Stalin Satuquinga Tigse</t>
  </si>
  <si>
    <t>Jamileth Chifla</t>
  </si>
  <si>
    <t>jorgito_19882025@outlook.com</t>
  </si>
  <si>
    <t>Darwin Guzñay</t>
  </si>
  <si>
    <t>guznaydarwin@gmail.com</t>
  </si>
  <si>
    <t>Erik Adrian Guzñay Vázquez</t>
  </si>
  <si>
    <t>Iván Patricio Caminos Moreno</t>
  </si>
  <si>
    <t>camimore_patrik30@hotmail.com</t>
  </si>
  <si>
    <t>Silvana Elizabeth Palacios Chérrez</t>
  </si>
  <si>
    <t>silvanitapalacios21@hotmail.com</t>
  </si>
  <si>
    <t>Byron Fernando Parra Quinga</t>
  </si>
  <si>
    <t>pfqz18@gmail.com</t>
  </si>
  <si>
    <t>Diego Marcelo Núñez Fiallos</t>
  </si>
  <si>
    <t>Anderson Sebastián Caminos Cabrera</t>
  </si>
  <si>
    <t>diegomarcelo527@gmail.com</t>
  </si>
  <si>
    <t>ascaminoscabrera2808@gmail.com</t>
  </si>
  <si>
    <t>097919 4466</t>
  </si>
  <si>
    <t>LIBRE 21</t>
  </si>
  <si>
    <t>LIBRE 22</t>
  </si>
  <si>
    <t>LIBRE 23</t>
  </si>
  <si>
    <t>LIBRE 24</t>
  </si>
  <si>
    <t>LIBRE 25</t>
  </si>
  <si>
    <t>LIBRE 26</t>
  </si>
  <si>
    <t>LIBRE 27</t>
  </si>
  <si>
    <t>LIBRE 28</t>
  </si>
  <si>
    <t>LIBRE 29</t>
  </si>
  <si>
    <t>LIBRE 30</t>
  </si>
  <si>
    <t>Clahyton Vallejo</t>
  </si>
  <si>
    <t>melych1981@gmail.com</t>
  </si>
  <si>
    <t>Jhony Coca Freire</t>
  </si>
  <si>
    <t>suneococa@gmail.com</t>
  </si>
  <si>
    <t>LIBRE 31</t>
  </si>
  <si>
    <t>LIBRE 33</t>
  </si>
  <si>
    <t>LIBRE 34</t>
  </si>
  <si>
    <t>Roberto Fabian Renteria Chimbo</t>
  </si>
  <si>
    <t>fabianrenteria1973@gmail.com</t>
  </si>
  <si>
    <t>FRANKLIN OMAR ACOSTA BANDA</t>
  </si>
  <si>
    <t>frankoslivemaestro@gmail.com</t>
  </si>
  <si>
    <t>Delia Fanny Mullo Gualan</t>
  </si>
  <si>
    <t>deliamullo185@gmail.com</t>
  </si>
  <si>
    <t>Mario Nicolás Vargas Coca</t>
  </si>
  <si>
    <t>Andrés Olivo</t>
  </si>
  <si>
    <t>99 558 8968</t>
  </si>
  <si>
    <t>Fabricio Cabrera</t>
  </si>
  <si>
    <t xml:space="preserve">Luis Eduerdo Coello Ortiz </t>
  </si>
  <si>
    <t>10k</t>
  </si>
  <si>
    <t>coelloluis894@gmail.com</t>
  </si>
  <si>
    <t>Diego Fernando Ortiz Mayorga</t>
  </si>
  <si>
    <t>diegofortiz1804@gmail.com</t>
  </si>
  <si>
    <t>Soria Sanchez Pia</t>
  </si>
  <si>
    <t>Daniel Heredia</t>
  </si>
  <si>
    <t>herediad192@gmail.com</t>
  </si>
  <si>
    <t>Washington Navarrete</t>
  </si>
  <si>
    <t>20k</t>
  </si>
  <si>
    <t xml:space="preserve">Gabriela Pico </t>
  </si>
  <si>
    <t xml:space="preserve">Veronica Pico </t>
  </si>
  <si>
    <t xml:space="preserve">Diego Moran </t>
  </si>
  <si>
    <t xml:space="preserve">Joaquin Emiliano Canseco Vollegas </t>
  </si>
  <si>
    <t>Amyra Aguagallo Parra</t>
  </si>
  <si>
    <t>Luis Washington Ninasunta Yugcha</t>
  </si>
  <si>
    <t>Lizbeth Nicole López Guevara</t>
  </si>
  <si>
    <t>96 380 5999</t>
  </si>
  <si>
    <t>FERNANDO PARRA</t>
  </si>
  <si>
    <t>Organizador Machay</t>
  </si>
  <si>
    <t>CAMISETA 2K</t>
  </si>
  <si>
    <t>CAMISETA 10K</t>
  </si>
  <si>
    <t>CAMISETA 20K</t>
  </si>
  <si>
    <t>ACTUAL</t>
  </si>
  <si>
    <t>FALTANTE</t>
  </si>
  <si>
    <t>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</si>
</sst>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9.8"/>
      <color theme="1"/>
      <name val="Aptos Narrow"/>
      <family val="2"/>
      <scheme val="minor"/>
    </font>
    <font>
      <b/>
      <sz val="10.45"/>
      <color rgb="FFFFFFFF"/>
      <name val="Aptos Narrow"/>
      <family val="2"/>
      <scheme val="minor"/>
    </font>
    <font>
      <sz val="10.4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.45"/>
      <color rgb="FF333333"/>
      <name val="Arial"/>
      <family val="2"/>
    </font>
    <font>
      <sz val="10.45"/>
      <color rgb="FFFF0000"/>
      <name val="Aptos Narrow"/>
      <family val="2"/>
      <scheme val="minor"/>
    </font>
    <font>
      <sz val="10.45"/>
      <name val="Aptos Narrow"/>
      <family val="2"/>
      <scheme val="minor"/>
    </font>
    <font>
      <sz val="10.45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.45"/>
      <color theme="1"/>
      <name val="Arial"/>
      <family val="2"/>
    </font>
    <font>
      <sz val="10.45"/>
      <name val="Arial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532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4" fillId="0" borderId="0" xfId="1"/>
    <xf numFmtId="0" fontId="2" fillId="2" borderId="1" xfId="0" applyFont="1" applyFill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22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22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22" fontId="5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3" fillId="5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10" fillId="0" borderId="0" xfId="0" applyFont="1"/>
    <xf numFmtId="0" fontId="11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4" fontId="0" fillId="0" borderId="3" xfId="0" applyNumberFormat="1" applyBorder="1"/>
    <xf numFmtId="0" fontId="0" fillId="0" borderId="3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22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22" fontId="5" fillId="3" borderId="3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22" fontId="8" fillId="4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4" fillId="0" borderId="3" xfId="1" applyBorder="1"/>
    <xf numFmtId="0" fontId="5" fillId="3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11" fillId="0" borderId="3" xfId="0" applyFont="1" applyBorder="1"/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2timing.com/uploads/rioverde_2025/0503247967_deslinde_1764038510.pdf" TargetMode="External"/><Relationship Id="rId21" Type="http://schemas.openxmlformats.org/officeDocument/2006/relationships/hyperlink" Target="https://www.r2timing.com/uploads/rioverde_2025/1805725536_autorizacion_1762829429.jpg" TargetMode="External"/><Relationship Id="rId42" Type="http://schemas.openxmlformats.org/officeDocument/2006/relationships/hyperlink" Target="https://www.r2timing.com/uploads/rioverde_2025/1804687752_comprobante_1763171113.jpeg" TargetMode="External"/><Relationship Id="rId63" Type="http://schemas.openxmlformats.org/officeDocument/2006/relationships/hyperlink" Target="https://www.r2timing.com/uploads/rioverde_2025/1850690940_autorizacion_1763644943.jpg" TargetMode="External"/><Relationship Id="rId84" Type="http://schemas.openxmlformats.org/officeDocument/2006/relationships/hyperlink" Target="https://www.r2timing.com/uploads/rioverde_2025/1650118977_deslinde_1764002723.pdf" TargetMode="External"/><Relationship Id="rId138" Type="http://schemas.openxmlformats.org/officeDocument/2006/relationships/hyperlink" Target="https://www.r2timing.com/uploads/rioverde_2025/0601962210_comprobante_1764089070.png" TargetMode="External"/><Relationship Id="rId159" Type="http://schemas.openxmlformats.org/officeDocument/2006/relationships/hyperlink" Target="https://www.r2timing.com/uploads/rioverde_2025/1803591005_comprobante_1764106217.jpeg" TargetMode="External"/><Relationship Id="rId170" Type="http://schemas.openxmlformats.org/officeDocument/2006/relationships/hyperlink" Target="https://www.r2timing.com/uploads/rioverde_2025/1600736100_deslinde_1764113640.pdf" TargetMode="External"/><Relationship Id="rId191" Type="http://schemas.openxmlformats.org/officeDocument/2006/relationships/hyperlink" Target="https://www.r2timing.com/uploads/rioverde_2025/0603692328_comprobante_1764120327.jpg" TargetMode="External"/><Relationship Id="rId205" Type="http://schemas.openxmlformats.org/officeDocument/2006/relationships/hyperlink" Target="https://www.r2timing.com/uploads/rioverde_2025/0603466541_comprobante_1764134165.png" TargetMode="External"/><Relationship Id="rId107" Type="http://schemas.openxmlformats.org/officeDocument/2006/relationships/hyperlink" Target="https://www.r2timing.com/uploads/rioverde_2025/1718894817_deslinde_1764015008.pdf" TargetMode="External"/><Relationship Id="rId11" Type="http://schemas.openxmlformats.org/officeDocument/2006/relationships/hyperlink" Target="https://www.r2timing.com/uploads/rioverde_2025/1804087391_deslinde_1762485544.jpg" TargetMode="External"/><Relationship Id="rId32" Type="http://schemas.openxmlformats.org/officeDocument/2006/relationships/hyperlink" Target="https://www.r2timing.com/uploads/rioverde_2025/1850976281_comprobante_1763095072.png" TargetMode="External"/><Relationship Id="rId53" Type="http://schemas.openxmlformats.org/officeDocument/2006/relationships/hyperlink" Target="https://www.r2timing.com/uploads/rioverde_2025/1803991858_deslinde_1763580354.jpeg" TargetMode="External"/><Relationship Id="rId74" Type="http://schemas.openxmlformats.org/officeDocument/2006/relationships/hyperlink" Target="https://www.r2timing.com/uploads/rioverde_2025/1718625377_deslinde_1763668940.pdf" TargetMode="External"/><Relationship Id="rId128" Type="http://schemas.openxmlformats.org/officeDocument/2006/relationships/hyperlink" Target="https://www.r2timing.com/uploads/rioverde_2025/1804046629_comprobante_1764078948.jpg" TargetMode="External"/><Relationship Id="rId149" Type="http://schemas.openxmlformats.org/officeDocument/2006/relationships/hyperlink" Target="https://www.r2timing.com/uploads/rioverde_2025/1803012382_autorizacion_1764101982.jpg" TargetMode="External"/><Relationship Id="rId5" Type="http://schemas.openxmlformats.org/officeDocument/2006/relationships/hyperlink" Target="https://www.r2timing.com/uploads/rioverde_2025/0601379076_deslinde_1762052383.jpg" TargetMode="External"/><Relationship Id="rId95" Type="http://schemas.openxmlformats.org/officeDocument/2006/relationships/hyperlink" Target="https://www.r2timing.com/uploads/rioverde_2025/1600831919_deslinde_1764014594.pdf" TargetMode="External"/><Relationship Id="rId160" Type="http://schemas.openxmlformats.org/officeDocument/2006/relationships/hyperlink" Target="https://www.r2timing.com/uploads/rioverde_2025/1804663589_deslinde_1764106635.pdf" TargetMode="External"/><Relationship Id="rId181" Type="http://schemas.openxmlformats.org/officeDocument/2006/relationships/hyperlink" Target="https://www.r2timing.com/uploads/rioverde_2025/1850621648_comprobante_1764115313.jpg" TargetMode="External"/><Relationship Id="rId216" Type="http://schemas.openxmlformats.org/officeDocument/2006/relationships/hyperlink" Target="https://www.r2timing.com/uploads/rioverde_2025/1850218973_autorizacion_1764165518.pdf" TargetMode="External"/><Relationship Id="rId22" Type="http://schemas.openxmlformats.org/officeDocument/2006/relationships/hyperlink" Target="https://www.r2timing.com/uploads/rioverde_2025/0259330198_deslinde_1762916434.pdf" TargetMode="External"/><Relationship Id="rId43" Type="http://schemas.openxmlformats.org/officeDocument/2006/relationships/hyperlink" Target="https://www.r2timing.com/uploads/rioverde_2025/1805291448_deslinde_1763316642.pdf" TargetMode="External"/><Relationship Id="rId64" Type="http://schemas.openxmlformats.org/officeDocument/2006/relationships/hyperlink" Target="https://www.r2timing.com/uploads/rioverde_2025/1650049206_deslinde_1763645662.jpg" TargetMode="External"/><Relationship Id="rId118" Type="http://schemas.openxmlformats.org/officeDocument/2006/relationships/hyperlink" Target="https://www.r2timing.com/uploads/rioverde_2025/0503247967_comprobante_1764038510.pdf" TargetMode="External"/><Relationship Id="rId139" Type="http://schemas.openxmlformats.org/officeDocument/2006/relationships/hyperlink" Target="https://www.r2timing.com/uploads/rioverde_2025/1600831893_deslinde_1764089291.jpg" TargetMode="External"/><Relationship Id="rId85" Type="http://schemas.openxmlformats.org/officeDocument/2006/relationships/hyperlink" Target="https://www.r2timing.com/uploads/rioverde_2025/1650118977_comprobante_1764002723.png" TargetMode="External"/><Relationship Id="rId150" Type="http://schemas.openxmlformats.org/officeDocument/2006/relationships/hyperlink" Target="https://www.r2timing.com/uploads/rioverde_2025/1600638793_deslinde_1764104742.pdf" TargetMode="External"/><Relationship Id="rId171" Type="http://schemas.openxmlformats.org/officeDocument/2006/relationships/hyperlink" Target="https://www.r2timing.com/uploads/rioverde_2025/1600736100_comprobante_1764113640.png" TargetMode="External"/><Relationship Id="rId192" Type="http://schemas.openxmlformats.org/officeDocument/2006/relationships/hyperlink" Target="https://www.r2timing.com/uploads/rioverde_2025/1600504235_deslinde_1764122581.pdf" TargetMode="External"/><Relationship Id="rId206" Type="http://schemas.openxmlformats.org/officeDocument/2006/relationships/hyperlink" Target="https://www.r2timing.com/uploads/rioverde_2025/0603466541_deslinde_1764134249.pdf" TargetMode="External"/><Relationship Id="rId12" Type="http://schemas.openxmlformats.org/officeDocument/2006/relationships/hyperlink" Target="https://www.r2timing.com/uploads/rioverde_2025/1804087391_comprobante_1762485544.jpg" TargetMode="External"/><Relationship Id="rId33" Type="http://schemas.openxmlformats.org/officeDocument/2006/relationships/hyperlink" Target="https://www.r2timing.com/uploads/rioverde_2025/0604066852_deslinde_1763126953.jpg" TargetMode="External"/><Relationship Id="rId108" Type="http://schemas.openxmlformats.org/officeDocument/2006/relationships/hyperlink" Target="https://www.r2timing.com/uploads/rioverde_2025/1718894817_comprobante_1764015008.jpeg" TargetMode="External"/><Relationship Id="rId129" Type="http://schemas.openxmlformats.org/officeDocument/2006/relationships/hyperlink" Target="https://www.r2timing.com/uploads/rioverde_2025/1804046629_deslinde_1764078955.pdf" TargetMode="External"/><Relationship Id="rId54" Type="http://schemas.openxmlformats.org/officeDocument/2006/relationships/hyperlink" Target="https://www.r2timing.com/uploads/rioverde_2025/1803991858_comprobante_1763580354.jpeg" TargetMode="External"/><Relationship Id="rId75" Type="http://schemas.openxmlformats.org/officeDocument/2006/relationships/hyperlink" Target="https://www.r2timing.com/uploads/rioverde_2025/1718625377_comprobante_1763668940.jpg" TargetMode="External"/><Relationship Id="rId96" Type="http://schemas.openxmlformats.org/officeDocument/2006/relationships/hyperlink" Target="https://www.r2timing.com/uploads/rioverde_2025/1600831919_comprobante_1764014594.jpeg" TargetMode="External"/><Relationship Id="rId140" Type="http://schemas.openxmlformats.org/officeDocument/2006/relationships/hyperlink" Target="https://www.r2timing.com/uploads/rioverde_2025/1600831893_comprobante_1764089291.png" TargetMode="External"/><Relationship Id="rId161" Type="http://schemas.openxmlformats.org/officeDocument/2006/relationships/hyperlink" Target="https://www.r2timing.com/uploads/rioverde_2025/1804663589_comprobante_1764106635.jpeg" TargetMode="External"/><Relationship Id="rId182" Type="http://schemas.openxmlformats.org/officeDocument/2006/relationships/hyperlink" Target="https://www.r2timing.com/uploads/rioverde_2025/1501019440_deslinde_1764116214.pdf" TargetMode="External"/><Relationship Id="rId6" Type="http://schemas.openxmlformats.org/officeDocument/2006/relationships/hyperlink" Target="https://www.r2timing.com/uploads/rioverde_2025/0601379076_comprobante_1762052383.jpg" TargetMode="External"/><Relationship Id="rId23" Type="http://schemas.openxmlformats.org/officeDocument/2006/relationships/hyperlink" Target="https://www.r2timing.com/uploads/rioverde_2025/0259330198_comprobante_1762916434.jpg" TargetMode="External"/><Relationship Id="rId119" Type="http://schemas.openxmlformats.org/officeDocument/2006/relationships/hyperlink" Target="https://www.r2timing.com/uploads/rioverde_2025/1805388814_deslinde_1764038792.pdf" TargetMode="External"/><Relationship Id="rId44" Type="http://schemas.openxmlformats.org/officeDocument/2006/relationships/hyperlink" Target="https://www.r2timing.com/uploads/rioverde_2025/1805291448_comprobante_1763316642.jpeg" TargetMode="External"/><Relationship Id="rId65" Type="http://schemas.openxmlformats.org/officeDocument/2006/relationships/hyperlink" Target="https://www.r2timing.com/uploads/rioverde_2025/1650049206_comprobante_1763645662.jpg" TargetMode="External"/><Relationship Id="rId86" Type="http://schemas.openxmlformats.org/officeDocument/2006/relationships/hyperlink" Target="https://www.r2timing.com/uploads/rioverde_2025/1650118977_autorizacion_1764002723.pdf" TargetMode="External"/><Relationship Id="rId130" Type="http://schemas.openxmlformats.org/officeDocument/2006/relationships/hyperlink" Target="https://www.r2timing.com/uploads/rioverde_2025/1804046629_comprobante_1764078955.jpg" TargetMode="External"/><Relationship Id="rId151" Type="http://schemas.openxmlformats.org/officeDocument/2006/relationships/hyperlink" Target="https://www.r2timing.com/uploads/rioverde_2025/1600638793_comprobante_1764104742.jpeg" TargetMode="External"/><Relationship Id="rId172" Type="http://schemas.openxmlformats.org/officeDocument/2006/relationships/hyperlink" Target="https://www.r2timing.com/uploads/rioverde_2025/1600736100_deslinde_1764113702.pdf" TargetMode="External"/><Relationship Id="rId193" Type="http://schemas.openxmlformats.org/officeDocument/2006/relationships/hyperlink" Target="https://www.r2timing.com/uploads/rioverde_2025/1600504235_comprobante_1764122581.jpeg" TargetMode="External"/><Relationship Id="rId207" Type="http://schemas.openxmlformats.org/officeDocument/2006/relationships/hyperlink" Target="https://www.r2timing.com/uploads/rioverde_2025/0603466541_comprobante_1764134249.png" TargetMode="External"/><Relationship Id="rId13" Type="http://schemas.openxmlformats.org/officeDocument/2006/relationships/hyperlink" Target="https://www.r2timing.com/uploads/rioverde_2025/1803640430_deslinde_1762485728.jpg" TargetMode="External"/><Relationship Id="rId109" Type="http://schemas.openxmlformats.org/officeDocument/2006/relationships/hyperlink" Target="https://www.r2timing.com/uploads/rioverde_2025/0605797034_deslinde_1764016181.png" TargetMode="External"/><Relationship Id="rId34" Type="http://schemas.openxmlformats.org/officeDocument/2006/relationships/hyperlink" Target="https://www.r2timing.com/uploads/rioverde_2025/0604066852_comprobante_1763126953.png" TargetMode="External"/><Relationship Id="rId55" Type="http://schemas.openxmlformats.org/officeDocument/2006/relationships/hyperlink" Target="https://www.r2timing.com/uploads/rioverde_2025/1804263695_deslinde_1763589906.pdf" TargetMode="External"/><Relationship Id="rId76" Type="http://schemas.openxmlformats.org/officeDocument/2006/relationships/hyperlink" Target="https://www.r2timing.com/uploads/rioverde_2025/1804943510_deslinde_1763761657.jpg" TargetMode="External"/><Relationship Id="rId97" Type="http://schemas.openxmlformats.org/officeDocument/2006/relationships/hyperlink" Target="https://www.r2timing.com/uploads/rioverde_2025/1805081633_deslinde_1764014663.pdf" TargetMode="External"/><Relationship Id="rId120" Type="http://schemas.openxmlformats.org/officeDocument/2006/relationships/hyperlink" Target="https://www.r2timing.com/uploads/rioverde_2025/1805388814_comprobante_1764038792.jpeg" TargetMode="External"/><Relationship Id="rId141" Type="http://schemas.openxmlformats.org/officeDocument/2006/relationships/hyperlink" Target="https://www.r2timing.com/uploads/rioverde_2025/0605029354_deslinde_1764089579.pdf" TargetMode="External"/><Relationship Id="rId7" Type="http://schemas.openxmlformats.org/officeDocument/2006/relationships/hyperlink" Target="https://www.r2timing.com/uploads/rioverde_2025/1500858988_deslinde_1762357345.pdf" TargetMode="External"/><Relationship Id="rId162" Type="http://schemas.openxmlformats.org/officeDocument/2006/relationships/hyperlink" Target="https://www.r2timing.com/uploads/rioverde_2025/1802751626_deslinde_1764108084.pdf" TargetMode="External"/><Relationship Id="rId183" Type="http://schemas.openxmlformats.org/officeDocument/2006/relationships/hyperlink" Target="https://www.r2timing.com/uploads/rioverde_2025/1501019440_comprobante_1764116214.jpeg" TargetMode="External"/><Relationship Id="rId24" Type="http://schemas.openxmlformats.org/officeDocument/2006/relationships/hyperlink" Target="https://www.r2timing.com/uploads/rioverde_2025/0259330198_deslinde_1762972518.pdf" TargetMode="External"/><Relationship Id="rId45" Type="http://schemas.openxmlformats.org/officeDocument/2006/relationships/hyperlink" Target="https://www.r2timing.com/uploads/rioverde_2025/1600176919_deslinde_1763347216.jpeg" TargetMode="External"/><Relationship Id="rId66" Type="http://schemas.openxmlformats.org/officeDocument/2006/relationships/hyperlink" Target="https://www.r2timing.com/uploads/rioverde_2025/1650049206_autorizacion_1763645662.jpg" TargetMode="External"/><Relationship Id="rId87" Type="http://schemas.openxmlformats.org/officeDocument/2006/relationships/hyperlink" Target="https://www.r2timing.com/uploads/rioverde_2025/1600768210_deslinde_1764002861.pdf" TargetMode="External"/><Relationship Id="rId110" Type="http://schemas.openxmlformats.org/officeDocument/2006/relationships/hyperlink" Target="https://www.r2timing.com/uploads/rioverde_2025/0605797034_comprobante_1764016181.jpg" TargetMode="External"/><Relationship Id="rId131" Type="http://schemas.openxmlformats.org/officeDocument/2006/relationships/hyperlink" Target="https://www.r2timing.com/uploads/rioverde_2025/1723213011_deslinde_1764087767.pdf" TargetMode="External"/><Relationship Id="rId152" Type="http://schemas.openxmlformats.org/officeDocument/2006/relationships/hyperlink" Target="https://www.r2timing.com/uploads/rioverde_2025/1850035781_deslinde_1764105686.pdf" TargetMode="External"/><Relationship Id="rId173" Type="http://schemas.openxmlformats.org/officeDocument/2006/relationships/hyperlink" Target="https://www.r2timing.com/uploads/rioverde_2025/1600736100_comprobante_1764113702.png" TargetMode="External"/><Relationship Id="rId194" Type="http://schemas.openxmlformats.org/officeDocument/2006/relationships/hyperlink" Target="https://www.r2timing.com/uploads/rioverde_2025/0202223012_deslinde_1764128498.png" TargetMode="External"/><Relationship Id="rId208" Type="http://schemas.openxmlformats.org/officeDocument/2006/relationships/hyperlink" Target="https://www.r2timing.com/uploads/rioverde_2025/0603466541_deslinde_1764134257.pdf" TargetMode="External"/><Relationship Id="rId19" Type="http://schemas.openxmlformats.org/officeDocument/2006/relationships/hyperlink" Target="https://www.r2timing.com/uploads/rioverde_2025/1805725536_deslinde_1762829429.jpg" TargetMode="External"/><Relationship Id="rId14" Type="http://schemas.openxmlformats.org/officeDocument/2006/relationships/hyperlink" Target="https://www.r2timing.com/uploads/rioverde_2025/1803640430_comprobante_1762485728.jpg" TargetMode="External"/><Relationship Id="rId30" Type="http://schemas.openxmlformats.org/officeDocument/2006/relationships/hyperlink" Target="https://www.r2timing.com/uploads/rioverde_2025/1850976281_comprobante_1763095070.png" TargetMode="External"/><Relationship Id="rId35" Type="http://schemas.openxmlformats.org/officeDocument/2006/relationships/hyperlink" Target="https://www.r2timing.com/uploads/rioverde_2025/1805137138_deslinde_1763144460.jpeg" TargetMode="External"/><Relationship Id="rId56" Type="http://schemas.openxmlformats.org/officeDocument/2006/relationships/hyperlink" Target="https://www.r2timing.com/uploads/rioverde_2025/1804263695_comprobante_1763589906.jpg" TargetMode="External"/><Relationship Id="rId77" Type="http://schemas.openxmlformats.org/officeDocument/2006/relationships/hyperlink" Target="https://www.r2timing.com/uploads/rioverde_2025/1804943510_comprobante_1763761657.png" TargetMode="External"/><Relationship Id="rId100" Type="http://schemas.openxmlformats.org/officeDocument/2006/relationships/hyperlink" Target="https://www.r2timing.com/uploads/rioverde_2025/1600525982_comprobante_1764014727.jpeg" TargetMode="External"/><Relationship Id="rId105" Type="http://schemas.openxmlformats.org/officeDocument/2006/relationships/hyperlink" Target="https://www.r2timing.com/uploads/rioverde_2025/0703553776_deslinde_1764014927.pdf" TargetMode="External"/><Relationship Id="rId126" Type="http://schemas.openxmlformats.org/officeDocument/2006/relationships/hyperlink" Target="https://www.r2timing.com/uploads/rioverde_2025/1804046629_comprobante_1764078929.jpg" TargetMode="External"/><Relationship Id="rId147" Type="http://schemas.openxmlformats.org/officeDocument/2006/relationships/hyperlink" Target="https://www.r2timing.com/uploads/rioverde_2025/1803012382_deslinde_1764101982.jpg" TargetMode="External"/><Relationship Id="rId168" Type="http://schemas.openxmlformats.org/officeDocument/2006/relationships/hyperlink" Target="https://www.r2timing.com/uploads/rioverde_2025/1804104329_deslinde_1764109511.pdf" TargetMode="External"/><Relationship Id="rId8" Type="http://schemas.openxmlformats.org/officeDocument/2006/relationships/hyperlink" Target="https://www.r2timing.com/uploads/rioverde_2025/1500858988_comprobante_1762357345.jpg" TargetMode="External"/><Relationship Id="rId51" Type="http://schemas.openxmlformats.org/officeDocument/2006/relationships/hyperlink" Target="https://www.r2timing.com/uploads/rioverde_2025/1718625377_deslinde_1763577167.pdf" TargetMode="External"/><Relationship Id="rId72" Type="http://schemas.openxmlformats.org/officeDocument/2006/relationships/hyperlink" Target="https://www.r2timing.com/uploads/rioverde_2025/1718625377_deslinde_1763668874.pdf" TargetMode="External"/><Relationship Id="rId93" Type="http://schemas.openxmlformats.org/officeDocument/2006/relationships/hyperlink" Target="https://www.r2timing.com/uploads/rioverde_2025/1760635241_deslinde_1764014533.pdf" TargetMode="External"/><Relationship Id="rId98" Type="http://schemas.openxmlformats.org/officeDocument/2006/relationships/hyperlink" Target="https://www.r2timing.com/uploads/rioverde_2025/1805081633_comprobante_1764014663.jpeg" TargetMode="External"/><Relationship Id="rId121" Type="http://schemas.openxmlformats.org/officeDocument/2006/relationships/hyperlink" Target="https://www.r2timing.com/uploads/rioverde_2025/1805387105_deslinde_1764038943.pdf" TargetMode="External"/><Relationship Id="rId142" Type="http://schemas.openxmlformats.org/officeDocument/2006/relationships/hyperlink" Target="https://www.r2timing.com/uploads/rioverde_2025/0605029354_comprobante_1764089579.jpg" TargetMode="External"/><Relationship Id="rId163" Type="http://schemas.openxmlformats.org/officeDocument/2006/relationships/hyperlink" Target="https://www.r2timing.com/uploads/rioverde_2025/1802751626_comprobante_1764108084.jpeg" TargetMode="External"/><Relationship Id="rId184" Type="http://schemas.openxmlformats.org/officeDocument/2006/relationships/hyperlink" Target="https://www.r2timing.com/uploads/rioverde_2025/1805184957_deslinde_1764117666.jpg" TargetMode="External"/><Relationship Id="rId189" Type="http://schemas.openxmlformats.org/officeDocument/2006/relationships/hyperlink" Target="https://www.r2timing.com/uploads/rioverde_2025/0604063297_comprobante_1764120183.jpeg" TargetMode="External"/><Relationship Id="rId3" Type="http://schemas.openxmlformats.org/officeDocument/2006/relationships/hyperlink" Target="https://www.r2timing.com/uploads/rioverde_2025/0504150319_deslinde_1761766721.pdf" TargetMode="External"/><Relationship Id="rId214" Type="http://schemas.openxmlformats.org/officeDocument/2006/relationships/hyperlink" Target="https://www.r2timing.com/uploads/rioverde_2025/1850218973_deslinde_1764165518.pdf" TargetMode="External"/><Relationship Id="rId25" Type="http://schemas.openxmlformats.org/officeDocument/2006/relationships/hyperlink" Target="https://www.r2timing.com/uploads/rioverde_2025/0259330198_comprobante_1762972518.jpg" TargetMode="External"/><Relationship Id="rId46" Type="http://schemas.openxmlformats.org/officeDocument/2006/relationships/hyperlink" Target="https://www.r2timing.com/uploads/rioverde_2025/1600176919_comprobante_1763347216.png" TargetMode="External"/><Relationship Id="rId67" Type="http://schemas.openxmlformats.org/officeDocument/2006/relationships/hyperlink" Target="https://www.r2timing.com/uploads/rioverde_2025/1804299814_deslinde_1763662482.jpg" TargetMode="External"/><Relationship Id="rId116" Type="http://schemas.openxmlformats.org/officeDocument/2006/relationships/hyperlink" Target="https://www.r2timing.com/uploads/rioverde_2025/1650016056_comprobante_1764036043.jpg" TargetMode="External"/><Relationship Id="rId137" Type="http://schemas.openxmlformats.org/officeDocument/2006/relationships/hyperlink" Target="https://www.r2timing.com/uploads/rioverde_2025/0601962210_deslinde_1764089070.jpg" TargetMode="External"/><Relationship Id="rId158" Type="http://schemas.openxmlformats.org/officeDocument/2006/relationships/hyperlink" Target="https://www.r2timing.com/uploads/rioverde_2025/1803591005_deslinde_1764106217.pdf" TargetMode="External"/><Relationship Id="rId20" Type="http://schemas.openxmlformats.org/officeDocument/2006/relationships/hyperlink" Target="https://www.r2timing.com/uploads/rioverde_2025/1805725536_comprobante_1762829429.jpg" TargetMode="External"/><Relationship Id="rId41" Type="http://schemas.openxmlformats.org/officeDocument/2006/relationships/hyperlink" Target="https://www.r2timing.com/uploads/rioverde_2025/1804687752_deslinde_1763171113.pdf" TargetMode="External"/><Relationship Id="rId62" Type="http://schemas.openxmlformats.org/officeDocument/2006/relationships/hyperlink" Target="https://www.r2timing.com/uploads/rioverde_2025/1850690940_comprobante_1763644943.jpg" TargetMode="External"/><Relationship Id="rId83" Type="http://schemas.openxmlformats.org/officeDocument/2006/relationships/hyperlink" Target="https://www.r2timing.com/uploads/rioverde_2025/0604701557_comprobante_1764000572.jpg" TargetMode="External"/><Relationship Id="rId88" Type="http://schemas.openxmlformats.org/officeDocument/2006/relationships/hyperlink" Target="https://www.r2timing.com/uploads/rioverde_2025/1600768210_comprobante_1764002861.png" TargetMode="External"/><Relationship Id="rId111" Type="http://schemas.openxmlformats.org/officeDocument/2006/relationships/hyperlink" Target="https://www.r2timing.com/uploads/rioverde_2025/1804619102_deslinde_1764030605.jpg" TargetMode="External"/><Relationship Id="rId132" Type="http://schemas.openxmlformats.org/officeDocument/2006/relationships/hyperlink" Target="https://www.r2timing.com/uploads/rioverde_2025/1723213011_comprobante_1764087767.pdf" TargetMode="External"/><Relationship Id="rId153" Type="http://schemas.openxmlformats.org/officeDocument/2006/relationships/hyperlink" Target="https://www.r2timing.com/uploads/rioverde_2025/1850035781_comprobante_1764105686.jpeg" TargetMode="External"/><Relationship Id="rId174" Type="http://schemas.openxmlformats.org/officeDocument/2006/relationships/hyperlink" Target="https://www.r2timing.com/uploads/rioverde_2025/1850476514_deslinde_1764113990.jpg" TargetMode="External"/><Relationship Id="rId179" Type="http://schemas.openxmlformats.org/officeDocument/2006/relationships/hyperlink" Target="https://www.r2timing.com/uploads/rioverde_2025/1805540331_comprobante_1764114840.jpg" TargetMode="External"/><Relationship Id="rId195" Type="http://schemas.openxmlformats.org/officeDocument/2006/relationships/hyperlink" Target="https://www.r2timing.com/uploads/rioverde_2025/0202223012_comprobante_1764128498.jpg" TargetMode="External"/><Relationship Id="rId209" Type="http://schemas.openxmlformats.org/officeDocument/2006/relationships/hyperlink" Target="https://www.r2timing.com/uploads/rioverde_2025/0603466541_comprobante_1764134257.png" TargetMode="External"/><Relationship Id="rId190" Type="http://schemas.openxmlformats.org/officeDocument/2006/relationships/hyperlink" Target="https://www.r2timing.com/uploads/rioverde_2025/0603692328_deslinde_1764120327.jpg" TargetMode="External"/><Relationship Id="rId204" Type="http://schemas.openxmlformats.org/officeDocument/2006/relationships/hyperlink" Target="https://www.r2timing.com/uploads/rioverde_2025/0603466541_deslinde_1764134165.pdf" TargetMode="External"/><Relationship Id="rId15" Type="http://schemas.openxmlformats.org/officeDocument/2006/relationships/hyperlink" Target="https://www.r2timing.com/uploads/rioverde_2025/1002829727_deslinde_1762547443.jpg" TargetMode="External"/><Relationship Id="rId36" Type="http://schemas.openxmlformats.org/officeDocument/2006/relationships/hyperlink" Target="https://www.r2timing.com/uploads/rioverde_2025/1805137138_comprobante_1763144460.jpeg" TargetMode="External"/><Relationship Id="rId57" Type="http://schemas.openxmlformats.org/officeDocument/2006/relationships/hyperlink" Target="https://www.r2timing.com/uploads/rioverde_2025/1804263695_deslinde_1763589907.pdf" TargetMode="External"/><Relationship Id="rId106" Type="http://schemas.openxmlformats.org/officeDocument/2006/relationships/hyperlink" Target="https://www.r2timing.com/uploads/rioverde_2025/0703553776_comprobante_1764014927.jpeg" TargetMode="External"/><Relationship Id="rId127" Type="http://schemas.openxmlformats.org/officeDocument/2006/relationships/hyperlink" Target="https://www.r2timing.com/uploads/rioverde_2025/1804046629_deslinde_1764078948.pdf" TargetMode="External"/><Relationship Id="rId10" Type="http://schemas.openxmlformats.org/officeDocument/2006/relationships/hyperlink" Target="https://www.r2timing.com/uploads/rioverde_2025/1804087391_comprobante_1762485541.jpg" TargetMode="External"/><Relationship Id="rId31" Type="http://schemas.openxmlformats.org/officeDocument/2006/relationships/hyperlink" Target="https://www.r2timing.com/uploads/rioverde_2025/1850976281_deslinde_1763095072.pdf" TargetMode="External"/><Relationship Id="rId52" Type="http://schemas.openxmlformats.org/officeDocument/2006/relationships/hyperlink" Target="https://www.r2timing.com/uploads/rioverde_2025/1718625377_comprobante_1763577167.jpg" TargetMode="External"/><Relationship Id="rId73" Type="http://schemas.openxmlformats.org/officeDocument/2006/relationships/hyperlink" Target="https://www.r2timing.com/uploads/rioverde_2025/1718625377_comprobante_1763668874.jpg" TargetMode="External"/><Relationship Id="rId78" Type="http://schemas.openxmlformats.org/officeDocument/2006/relationships/hyperlink" Target="https://www.r2timing.com/uploads/rioverde_2025/0504120189_deslinde_1763774026.jpg" TargetMode="External"/><Relationship Id="rId94" Type="http://schemas.openxmlformats.org/officeDocument/2006/relationships/hyperlink" Target="https://www.r2timing.com/uploads/rioverde_2025/1760635241_comprobante_1764014533.jpeg" TargetMode="External"/><Relationship Id="rId99" Type="http://schemas.openxmlformats.org/officeDocument/2006/relationships/hyperlink" Target="https://www.r2timing.com/uploads/rioverde_2025/1600525982_deslinde_1764014727.pdf" TargetMode="External"/><Relationship Id="rId101" Type="http://schemas.openxmlformats.org/officeDocument/2006/relationships/hyperlink" Target="https://www.r2timing.com/uploads/rioverde_2025/1600623266_deslinde_1764014787.pdf" TargetMode="External"/><Relationship Id="rId122" Type="http://schemas.openxmlformats.org/officeDocument/2006/relationships/hyperlink" Target="https://www.r2timing.com/uploads/rioverde_2025/1805387105_comprobante_1764038943.jpeg" TargetMode="External"/><Relationship Id="rId143" Type="http://schemas.openxmlformats.org/officeDocument/2006/relationships/hyperlink" Target="https://www.r2timing.com/uploads/rioverde_2025/1600759821_deslinde_1764091782.jpg" TargetMode="External"/><Relationship Id="rId148" Type="http://schemas.openxmlformats.org/officeDocument/2006/relationships/hyperlink" Target="https://www.r2timing.com/uploads/rioverde_2025/1803012382_comprobante_1764101982.png" TargetMode="External"/><Relationship Id="rId164" Type="http://schemas.openxmlformats.org/officeDocument/2006/relationships/hyperlink" Target="https://www.r2timing.com/uploads/rioverde_2025/1804752515_deslinde_1764108372.pdf" TargetMode="External"/><Relationship Id="rId169" Type="http://schemas.openxmlformats.org/officeDocument/2006/relationships/hyperlink" Target="https://www.r2timing.com/uploads/rioverde_2025/1804104329_comprobante_1764109511.jpeg" TargetMode="External"/><Relationship Id="rId185" Type="http://schemas.openxmlformats.org/officeDocument/2006/relationships/hyperlink" Target="https://www.r2timing.com/uploads/rioverde_2025/1805184957_comprobante_1764117666.jpg" TargetMode="External"/><Relationship Id="rId4" Type="http://schemas.openxmlformats.org/officeDocument/2006/relationships/hyperlink" Target="https://www.r2timing.com/uploads/rioverde_2025/0504150319_comprobante_1761766721.jpg" TargetMode="External"/><Relationship Id="rId9" Type="http://schemas.openxmlformats.org/officeDocument/2006/relationships/hyperlink" Target="https://www.r2timing.com/uploads/rioverde_2025/1804087391_deslinde_1762485541.jpg" TargetMode="External"/><Relationship Id="rId180" Type="http://schemas.openxmlformats.org/officeDocument/2006/relationships/hyperlink" Target="https://www.r2timing.com/uploads/rioverde_2025/1850621648_deslinde_1764115313.jpg" TargetMode="External"/><Relationship Id="rId210" Type="http://schemas.openxmlformats.org/officeDocument/2006/relationships/hyperlink" Target="https://www.r2timing.com/uploads/rioverde_2025/0603575572_deslinde_1764134971.png" TargetMode="External"/><Relationship Id="rId215" Type="http://schemas.openxmlformats.org/officeDocument/2006/relationships/hyperlink" Target="https://www.r2timing.com/uploads/rioverde_2025/1850218973_comprobante_1764165518.jpeg" TargetMode="External"/><Relationship Id="rId26" Type="http://schemas.openxmlformats.org/officeDocument/2006/relationships/hyperlink" Target="https://www.r2timing.com/uploads/rioverde_2025/0250330149_deslinde_1762997649.pdf" TargetMode="External"/><Relationship Id="rId47" Type="http://schemas.openxmlformats.org/officeDocument/2006/relationships/hyperlink" Target="https://www.r2timing.com/uploads/rioverde_2025/0550610935_deslinde_1763427979.pdf" TargetMode="External"/><Relationship Id="rId68" Type="http://schemas.openxmlformats.org/officeDocument/2006/relationships/hyperlink" Target="https://www.r2timing.com/uploads/rioverde_2025/1804299814_comprobante_1763662482.png" TargetMode="External"/><Relationship Id="rId89" Type="http://schemas.openxmlformats.org/officeDocument/2006/relationships/hyperlink" Target="https://www.r2timing.com/uploads/rioverde_2025/1850380591_deslinde_1764003256.png" TargetMode="External"/><Relationship Id="rId112" Type="http://schemas.openxmlformats.org/officeDocument/2006/relationships/hyperlink" Target="https://www.r2timing.com/uploads/rioverde_2025/1804619102_comprobante_1764030605.jpg" TargetMode="External"/><Relationship Id="rId133" Type="http://schemas.openxmlformats.org/officeDocument/2006/relationships/hyperlink" Target="https://www.r2timing.com/uploads/rioverde_2025/1803151933_deslinde_1764088392.pdf" TargetMode="External"/><Relationship Id="rId154" Type="http://schemas.openxmlformats.org/officeDocument/2006/relationships/hyperlink" Target="https://www.r2timing.com/uploads/rioverde_2025/1803890936_deslinde_1764105822.pdf" TargetMode="External"/><Relationship Id="rId175" Type="http://schemas.openxmlformats.org/officeDocument/2006/relationships/hyperlink" Target="https://www.r2timing.com/uploads/rioverde_2025/1850476514_comprobante_1764113990.jpg" TargetMode="External"/><Relationship Id="rId196" Type="http://schemas.openxmlformats.org/officeDocument/2006/relationships/hyperlink" Target="https://www.r2timing.com/uploads/rioverde_2025/1719938423_deslinde_1764129342.jpg" TargetMode="External"/><Relationship Id="rId200" Type="http://schemas.openxmlformats.org/officeDocument/2006/relationships/hyperlink" Target="https://www.r2timing.com/uploads/rioverde_2025/0603466541_deslinde_1764134161.pdf" TargetMode="External"/><Relationship Id="rId16" Type="http://schemas.openxmlformats.org/officeDocument/2006/relationships/hyperlink" Target="https://www.r2timing.com/uploads/rioverde_2025/1002829727_comprobante_1762547443.png" TargetMode="External"/><Relationship Id="rId37" Type="http://schemas.openxmlformats.org/officeDocument/2006/relationships/hyperlink" Target="https://www.r2timing.com/uploads/rioverde_2025/1722361308_deslinde_1763151325.png" TargetMode="External"/><Relationship Id="rId58" Type="http://schemas.openxmlformats.org/officeDocument/2006/relationships/hyperlink" Target="https://www.r2timing.com/uploads/rioverde_2025/1804263695_comprobante_1763589907.jpg" TargetMode="External"/><Relationship Id="rId79" Type="http://schemas.openxmlformats.org/officeDocument/2006/relationships/hyperlink" Target="https://www.r2timing.com/uploads/rioverde_2025/0504120189_comprobante_1763774026.jpg" TargetMode="External"/><Relationship Id="rId102" Type="http://schemas.openxmlformats.org/officeDocument/2006/relationships/hyperlink" Target="https://www.r2timing.com/uploads/rioverde_2025/1600623266_comprobante_1764014787.jpeg" TargetMode="External"/><Relationship Id="rId123" Type="http://schemas.openxmlformats.org/officeDocument/2006/relationships/hyperlink" Target="https://www.r2timing.com/uploads/rioverde_2025/0503613077_deslinde_1764038972.pdf" TargetMode="External"/><Relationship Id="rId144" Type="http://schemas.openxmlformats.org/officeDocument/2006/relationships/hyperlink" Target="https://www.r2timing.com/uploads/rioverde_2025/1600759821_comprobante_1764091782.png" TargetMode="External"/><Relationship Id="rId90" Type="http://schemas.openxmlformats.org/officeDocument/2006/relationships/hyperlink" Target="https://www.r2timing.com/uploads/rioverde_2025/1850380591_comprobante_1764003256.jpg" TargetMode="External"/><Relationship Id="rId165" Type="http://schemas.openxmlformats.org/officeDocument/2006/relationships/hyperlink" Target="https://www.r2timing.com/uploads/rioverde_2025/1804752515_comprobante_1764108372.jpeg" TargetMode="External"/><Relationship Id="rId186" Type="http://schemas.openxmlformats.org/officeDocument/2006/relationships/hyperlink" Target="https://www.r2timing.com/uploads/rioverde_2025/1715566434_deslinde_1764120019.jpg" TargetMode="External"/><Relationship Id="rId211" Type="http://schemas.openxmlformats.org/officeDocument/2006/relationships/hyperlink" Target="https://www.r2timing.com/uploads/rioverde_2025/0603575572_comprobante_1764134971.png" TargetMode="External"/><Relationship Id="rId27" Type="http://schemas.openxmlformats.org/officeDocument/2006/relationships/hyperlink" Target="https://www.r2timing.com/uploads/rioverde_2025/0250330149_comprobante_1762997649.jpg" TargetMode="External"/><Relationship Id="rId48" Type="http://schemas.openxmlformats.org/officeDocument/2006/relationships/hyperlink" Target="https://www.r2timing.com/uploads/rioverde_2025/0550610935_comprobante_1763427979.jpeg" TargetMode="External"/><Relationship Id="rId69" Type="http://schemas.openxmlformats.org/officeDocument/2006/relationships/hyperlink" Target="https://www.r2timing.com/uploads/rioverde_2025/1804299814_autorizacion_1763662482.jpg" TargetMode="External"/><Relationship Id="rId113" Type="http://schemas.openxmlformats.org/officeDocument/2006/relationships/hyperlink" Target="https://www.r2timing.com/uploads/rioverde_2025/1804681425_deslinde_1764030881.jpg" TargetMode="External"/><Relationship Id="rId134" Type="http://schemas.openxmlformats.org/officeDocument/2006/relationships/hyperlink" Target="https://www.r2timing.com/uploads/rioverde_2025/1803151933_comprobante_1764088392.jpg" TargetMode="External"/><Relationship Id="rId80" Type="http://schemas.openxmlformats.org/officeDocument/2006/relationships/hyperlink" Target="https://www.r2timing.com/uploads/rioverde_2025/1804715298_deslinde_1763995337.jpg" TargetMode="External"/><Relationship Id="rId155" Type="http://schemas.openxmlformats.org/officeDocument/2006/relationships/hyperlink" Target="https://www.r2timing.com/uploads/rioverde_2025/1803890936_comprobante_1764105822.jpeg" TargetMode="External"/><Relationship Id="rId176" Type="http://schemas.openxmlformats.org/officeDocument/2006/relationships/hyperlink" Target="https://www.r2timing.com/uploads/rioverde_2025/2250093669_deslinde_1764114220.pdf" TargetMode="External"/><Relationship Id="rId197" Type="http://schemas.openxmlformats.org/officeDocument/2006/relationships/hyperlink" Target="https://www.r2timing.com/uploads/rioverde_2025/1719938423_comprobante_1764129342.jpg" TargetMode="External"/><Relationship Id="rId201" Type="http://schemas.openxmlformats.org/officeDocument/2006/relationships/hyperlink" Target="https://www.r2timing.com/uploads/rioverde_2025/0603466541_comprobante_1764134161.png" TargetMode="External"/><Relationship Id="rId17" Type="http://schemas.openxmlformats.org/officeDocument/2006/relationships/hyperlink" Target="https://www.r2timing.com/uploads/rioverde_2025/0912899390_deslinde_1762645802.pdf" TargetMode="External"/><Relationship Id="rId38" Type="http://schemas.openxmlformats.org/officeDocument/2006/relationships/hyperlink" Target="https://www.r2timing.com/uploads/rioverde_2025/1722361308_comprobante_1763151325.png" TargetMode="External"/><Relationship Id="rId59" Type="http://schemas.openxmlformats.org/officeDocument/2006/relationships/hyperlink" Target="https://www.r2timing.com/uploads/rioverde_2025/1804711115_deslinde_1763608580.pdf" TargetMode="External"/><Relationship Id="rId103" Type="http://schemas.openxmlformats.org/officeDocument/2006/relationships/hyperlink" Target="https://www.r2timing.com/uploads/rioverde_2025/1315078202_deslinde_1764014853.pdf" TargetMode="External"/><Relationship Id="rId124" Type="http://schemas.openxmlformats.org/officeDocument/2006/relationships/hyperlink" Target="https://www.r2timing.com/uploads/rioverde_2025/0503613077_comprobante_1764038972.pdf" TargetMode="External"/><Relationship Id="rId70" Type="http://schemas.openxmlformats.org/officeDocument/2006/relationships/hyperlink" Target="https://www.r2timing.com/uploads/rioverde_2025/1718625377_deslinde_1763668872.pdf" TargetMode="External"/><Relationship Id="rId91" Type="http://schemas.openxmlformats.org/officeDocument/2006/relationships/hyperlink" Target="https://www.r2timing.com/uploads/rioverde_2025/1758299224_deslinde_1764014449.pdf" TargetMode="External"/><Relationship Id="rId145" Type="http://schemas.openxmlformats.org/officeDocument/2006/relationships/hyperlink" Target="https://www.r2timing.com/uploads/rioverde_2025/0604439299_deslinde_1764095569.pdf" TargetMode="External"/><Relationship Id="rId166" Type="http://schemas.openxmlformats.org/officeDocument/2006/relationships/hyperlink" Target="https://www.r2timing.com/uploads/rioverde_2025/1803502499_deslinde_1764108648.pdf" TargetMode="External"/><Relationship Id="rId187" Type="http://schemas.openxmlformats.org/officeDocument/2006/relationships/hyperlink" Target="https://www.r2timing.com/uploads/rioverde_2025/1715566434_comprobante_1764120019.jpg" TargetMode="External"/><Relationship Id="rId1" Type="http://schemas.openxmlformats.org/officeDocument/2006/relationships/hyperlink" Target="https://www.r2timing.com/uploads/rioverde_2025/1600746596_deslinde_1761533215.pdf" TargetMode="External"/><Relationship Id="rId212" Type="http://schemas.openxmlformats.org/officeDocument/2006/relationships/hyperlink" Target="https://www.r2timing.com/uploads/rioverde_2025/0603575572_deslinde_1764134973.png" TargetMode="External"/><Relationship Id="rId28" Type="http://schemas.openxmlformats.org/officeDocument/2006/relationships/hyperlink" Target="https://www.r2timing.com/uploads/rioverde_2025/0250330149_autorizacion_1762997649.pdf" TargetMode="External"/><Relationship Id="rId49" Type="http://schemas.openxmlformats.org/officeDocument/2006/relationships/hyperlink" Target="https://www.r2timing.com/uploads/rioverde_2025/1805417399_deslinde_1763482178.jpeg" TargetMode="External"/><Relationship Id="rId114" Type="http://schemas.openxmlformats.org/officeDocument/2006/relationships/hyperlink" Target="https://www.r2timing.com/uploads/rioverde_2025/1804681425_comprobante_1764030881.jpg" TargetMode="External"/><Relationship Id="rId60" Type="http://schemas.openxmlformats.org/officeDocument/2006/relationships/hyperlink" Target="https://www.r2timing.com/uploads/rioverde_2025/1804711115_comprobante_1763608580.jpeg" TargetMode="External"/><Relationship Id="rId81" Type="http://schemas.openxmlformats.org/officeDocument/2006/relationships/hyperlink" Target="https://www.r2timing.com/uploads/rioverde_2025/1804715298_comprobante_1763995337.jpg" TargetMode="External"/><Relationship Id="rId135" Type="http://schemas.openxmlformats.org/officeDocument/2006/relationships/hyperlink" Target="https://www.r2timing.com/uploads/rioverde_2025/1600745440_deslinde_1764088709.jpg" TargetMode="External"/><Relationship Id="rId156" Type="http://schemas.openxmlformats.org/officeDocument/2006/relationships/hyperlink" Target="https://www.r2timing.com/uploads/rioverde_2025/1803694122_deslinde_1764106073.pdf" TargetMode="External"/><Relationship Id="rId177" Type="http://schemas.openxmlformats.org/officeDocument/2006/relationships/hyperlink" Target="https://www.r2timing.com/uploads/rioverde_2025/2250093669_comprobante_1764114220.png" TargetMode="External"/><Relationship Id="rId198" Type="http://schemas.openxmlformats.org/officeDocument/2006/relationships/hyperlink" Target="https://www.r2timing.com/uploads/rioverde_2025/1751466978_deslinde_1764129825.jpg" TargetMode="External"/><Relationship Id="rId202" Type="http://schemas.openxmlformats.org/officeDocument/2006/relationships/hyperlink" Target="https://www.r2timing.com/uploads/rioverde_2025/0603466541_deslinde_1764134163.pdf" TargetMode="External"/><Relationship Id="rId18" Type="http://schemas.openxmlformats.org/officeDocument/2006/relationships/hyperlink" Target="https://www.r2timing.com/uploads/rioverde_2025/0912899390_comprobante_1762645802.jpeg" TargetMode="External"/><Relationship Id="rId39" Type="http://schemas.openxmlformats.org/officeDocument/2006/relationships/hyperlink" Target="https://www.r2timing.com/uploads/rioverde_2025/1802308310_deslinde_1763151417.png" TargetMode="External"/><Relationship Id="rId50" Type="http://schemas.openxmlformats.org/officeDocument/2006/relationships/hyperlink" Target="https://www.r2timing.com/uploads/rioverde_2025/1805417399_comprobante_1763482178.jpeg" TargetMode="External"/><Relationship Id="rId104" Type="http://schemas.openxmlformats.org/officeDocument/2006/relationships/hyperlink" Target="https://www.r2timing.com/uploads/rioverde_2025/1315078202_comprobante_1764014853.jpeg" TargetMode="External"/><Relationship Id="rId125" Type="http://schemas.openxmlformats.org/officeDocument/2006/relationships/hyperlink" Target="https://www.r2timing.com/uploads/rioverde_2025/1804046629_deslinde_1764078929.pdf" TargetMode="External"/><Relationship Id="rId146" Type="http://schemas.openxmlformats.org/officeDocument/2006/relationships/hyperlink" Target="https://www.r2timing.com/uploads/rioverde_2025/0604439299_comprobante_1764095569.jpg" TargetMode="External"/><Relationship Id="rId167" Type="http://schemas.openxmlformats.org/officeDocument/2006/relationships/hyperlink" Target="https://www.r2timing.com/uploads/rioverde_2025/1803502499_comprobante_1764108648.jpeg" TargetMode="External"/><Relationship Id="rId188" Type="http://schemas.openxmlformats.org/officeDocument/2006/relationships/hyperlink" Target="https://www.r2timing.com/uploads/rioverde_2025/0604063297_deslinde_1764120183.pdf" TargetMode="External"/><Relationship Id="rId71" Type="http://schemas.openxmlformats.org/officeDocument/2006/relationships/hyperlink" Target="https://www.r2timing.com/uploads/rioverde_2025/1718625377_comprobante_1763668872.jpg" TargetMode="External"/><Relationship Id="rId92" Type="http://schemas.openxmlformats.org/officeDocument/2006/relationships/hyperlink" Target="https://www.r2timing.com/uploads/rioverde_2025/1758299224_comprobante_1764014449.jpeg" TargetMode="External"/><Relationship Id="rId213" Type="http://schemas.openxmlformats.org/officeDocument/2006/relationships/hyperlink" Target="https://www.r2timing.com/uploads/rioverde_2025/0603575572_comprobante_1764134973.png" TargetMode="External"/><Relationship Id="rId2" Type="http://schemas.openxmlformats.org/officeDocument/2006/relationships/hyperlink" Target="https://www.r2timing.com/uploads/rioverde_2025/1600746596_comprobante_1761533215.png" TargetMode="External"/><Relationship Id="rId29" Type="http://schemas.openxmlformats.org/officeDocument/2006/relationships/hyperlink" Target="https://www.r2timing.com/uploads/rioverde_2025/1850976281_deslinde_1763095070.pdf" TargetMode="External"/><Relationship Id="rId40" Type="http://schemas.openxmlformats.org/officeDocument/2006/relationships/hyperlink" Target="https://www.r2timing.com/uploads/rioverde_2025/1802308310_comprobante_1763151417.png" TargetMode="External"/><Relationship Id="rId115" Type="http://schemas.openxmlformats.org/officeDocument/2006/relationships/hyperlink" Target="https://www.r2timing.com/uploads/rioverde_2025/1650016056_deslinde_1764036043.jpg" TargetMode="External"/><Relationship Id="rId136" Type="http://schemas.openxmlformats.org/officeDocument/2006/relationships/hyperlink" Target="https://www.r2timing.com/uploads/rioverde_2025/1600745440_comprobante_1764088709.png" TargetMode="External"/><Relationship Id="rId157" Type="http://schemas.openxmlformats.org/officeDocument/2006/relationships/hyperlink" Target="https://www.r2timing.com/uploads/rioverde_2025/1803694122_comprobante_1764106073.jpeg" TargetMode="External"/><Relationship Id="rId178" Type="http://schemas.openxmlformats.org/officeDocument/2006/relationships/hyperlink" Target="https://www.r2timing.com/uploads/rioverde_2025/1805540331_deslinde_1764114840.jpg" TargetMode="External"/><Relationship Id="rId61" Type="http://schemas.openxmlformats.org/officeDocument/2006/relationships/hyperlink" Target="https://www.r2timing.com/uploads/rioverde_2025/1850690940_deslinde_1763644943.jpg" TargetMode="External"/><Relationship Id="rId82" Type="http://schemas.openxmlformats.org/officeDocument/2006/relationships/hyperlink" Target="https://www.r2timing.com/uploads/rioverde_2025/0604701557_deslinde_1764000572.pdf" TargetMode="External"/><Relationship Id="rId199" Type="http://schemas.openxmlformats.org/officeDocument/2006/relationships/hyperlink" Target="https://www.r2timing.com/uploads/rioverde_2025/1751466978_comprobante_1764129825.jpg" TargetMode="External"/><Relationship Id="rId203" Type="http://schemas.openxmlformats.org/officeDocument/2006/relationships/hyperlink" Target="https://www.r2timing.com/uploads/rioverde_2025/0603466541_comprobante_1764134163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lad@hotmail.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F372-C8BB-40A0-AB46-1DAED80F163A}">
  <sheetPr filterMode="1"/>
  <dimension ref="A1:N111"/>
  <sheetViews>
    <sheetView zoomScale="62" zoomScaleNormal="62" workbookViewId="0">
      <selection activeCell="K77" sqref="B6:K77"/>
    </sheetView>
  </sheetViews>
  <sheetFormatPr baseColWidth="10" defaultRowHeight="14.4" x14ac:dyDescent="0.3"/>
  <cols>
    <col min="1" max="1" width="4.88671875" customWidth="1"/>
    <col min="2" max="2" width="20.88671875" customWidth="1"/>
    <col min="3" max="3" width="21.33203125" customWidth="1"/>
  </cols>
  <sheetData>
    <row r="1" spans="1:14" ht="25.8" x14ac:dyDescent="0.3">
      <c r="B1" s="1" t="s">
        <v>0</v>
      </c>
    </row>
    <row r="3" spans="1:14" x14ac:dyDescent="0.3">
      <c r="B3" t="s">
        <v>1</v>
      </c>
    </row>
    <row r="5" spans="1:14" ht="15" thickBot="1" x14ac:dyDescent="0.35">
      <c r="B5" s="2"/>
    </row>
    <row r="6" spans="1:14" ht="28.2" thickBot="1" x14ac:dyDescent="0.3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</row>
    <row r="7" spans="1:14" ht="42" hidden="1" thickBot="1" x14ac:dyDescent="0.35">
      <c r="A7">
        <v>1</v>
      </c>
      <c r="B7" s="4">
        <v>45956.907581018517</v>
      </c>
      <c r="C7" s="5" t="s">
        <v>15</v>
      </c>
      <c r="D7" s="5">
        <v>1600746596</v>
      </c>
      <c r="E7" s="6">
        <v>37947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>
        <v>996364781</v>
      </c>
      <c r="L7" s="7" t="s">
        <v>21</v>
      </c>
      <c r="M7" s="7" t="s">
        <v>21</v>
      </c>
      <c r="N7" s="5" t="s">
        <v>22</v>
      </c>
    </row>
    <row r="8" spans="1:14" ht="42" hidden="1" thickBot="1" x14ac:dyDescent="0.35">
      <c r="A8">
        <v>1</v>
      </c>
      <c r="B8" s="8">
        <v>45959.610196759262</v>
      </c>
      <c r="C8" s="9" t="s">
        <v>23</v>
      </c>
      <c r="D8" s="9">
        <v>504150319</v>
      </c>
      <c r="E8" s="10">
        <v>34463</v>
      </c>
      <c r="F8" s="9" t="s">
        <v>16</v>
      </c>
      <c r="G8" s="9" t="s">
        <v>24</v>
      </c>
      <c r="H8" s="9" t="s">
        <v>18</v>
      </c>
      <c r="I8" s="9" t="s">
        <v>25</v>
      </c>
      <c r="J8" s="9" t="s">
        <v>26</v>
      </c>
      <c r="K8" s="9">
        <v>979181025</v>
      </c>
      <c r="L8" s="11" t="s">
        <v>21</v>
      </c>
      <c r="M8" s="11" t="s">
        <v>21</v>
      </c>
      <c r="N8" s="9" t="s">
        <v>22</v>
      </c>
    </row>
    <row r="9" spans="1:14" ht="28.2" hidden="1" thickBot="1" x14ac:dyDescent="0.35">
      <c r="A9">
        <v>2</v>
      </c>
      <c r="B9" s="4">
        <v>45962.91646990741</v>
      </c>
      <c r="C9" s="5" t="s">
        <v>27</v>
      </c>
      <c r="D9" s="5">
        <v>601379076</v>
      </c>
      <c r="E9" s="6">
        <v>21141</v>
      </c>
      <c r="F9" s="5" t="s">
        <v>16</v>
      </c>
      <c r="G9" s="5" t="s">
        <v>17</v>
      </c>
      <c r="H9" s="5" t="s">
        <v>28</v>
      </c>
      <c r="I9" s="5" t="s">
        <v>19</v>
      </c>
      <c r="J9" s="5" t="s">
        <v>29</v>
      </c>
      <c r="K9" s="5">
        <v>962233825</v>
      </c>
      <c r="L9" s="7" t="s">
        <v>21</v>
      </c>
      <c r="M9" s="7" t="s">
        <v>21</v>
      </c>
      <c r="N9" s="5" t="s">
        <v>22</v>
      </c>
    </row>
    <row r="10" spans="1:14" ht="42" hidden="1" thickBot="1" x14ac:dyDescent="0.35">
      <c r="A10">
        <v>2</v>
      </c>
      <c r="B10" s="8">
        <v>45966.446122685185</v>
      </c>
      <c r="C10" s="9" t="s">
        <v>30</v>
      </c>
      <c r="D10" s="9">
        <v>1500858988</v>
      </c>
      <c r="E10" s="10">
        <v>37673</v>
      </c>
      <c r="F10" s="9" t="s">
        <v>16</v>
      </c>
      <c r="G10" s="9" t="s">
        <v>24</v>
      </c>
      <c r="H10" s="9" t="s">
        <v>18</v>
      </c>
      <c r="I10" s="9" t="s">
        <v>25</v>
      </c>
      <c r="J10" s="9" t="s">
        <v>31</v>
      </c>
      <c r="K10" s="9">
        <v>959425623</v>
      </c>
      <c r="L10" s="11" t="s">
        <v>21</v>
      </c>
      <c r="M10" s="11" t="s">
        <v>21</v>
      </c>
      <c r="N10" s="9" t="s">
        <v>22</v>
      </c>
    </row>
    <row r="11" spans="1:14" ht="28.2" hidden="1" thickBot="1" x14ac:dyDescent="0.35">
      <c r="A11">
        <v>3</v>
      </c>
      <c r="B11" s="4">
        <v>45967.929872685185</v>
      </c>
      <c r="C11" s="5" t="s">
        <v>32</v>
      </c>
      <c r="D11" s="5">
        <v>1804087391</v>
      </c>
      <c r="E11" s="6">
        <v>32274</v>
      </c>
      <c r="F11" s="5" t="s">
        <v>16</v>
      </c>
      <c r="G11" s="5" t="s">
        <v>17</v>
      </c>
      <c r="H11" s="5" t="s">
        <v>18</v>
      </c>
      <c r="I11" s="5" t="s">
        <v>25</v>
      </c>
      <c r="J11" s="5" t="s">
        <v>33</v>
      </c>
      <c r="K11" s="5">
        <v>982442662</v>
      </c>
      <c r="L11" s="7" t="s">
        <v>21</v>
      </c>
      <c r="M11" s="7" t="s">
        <v>21</v>
      </c>
      <c r="N11" s="5" t="s">
        <v>22</v>
      </c>
    </row>
    <row r="12" spans="1:14" ht="28.2" hidden="1" thickBot="1" x14ac:dyDescent="0.35">
      <c r="A12">
        <v>4</v>
      </c>
      <c r="B12" s="8">
        <v>45967.929907407408</v>
      </c>
      <c r="C12" s="9" t="s">
        <v>32</v>
      </c>
      <c r="D12" s="9">
        <v>1804087391</v>
      </c>
      <c r="E12" s="10">
        <v>32274</v>
      </c>
      <c r="F12" s="9" t="s">
        <v>16</v>
      </c>
      <c r="G12" s="9" t="s">
        <v>17</v>
      </c>
      <c r="H12" s="9" t="s">
        <v>18</v>
      </c>
      <c r="I12" s="9" t="s">
        <v>25</v>
      </c>
      <c r="J12" s="9" t="s">
        <v>33</v>
      </c>
      <c r="K12" s="9">
        <v>982442662</v>
      </c>
      <c r="L12" s="11" t="s">
        <v>21</v>
      </c>
      <c r="M12" s="11" t="s">
        <v>21</v>
      </c>
      <c r="N12" s="9" t="s">
        <v>22</v>
      </c>
    </row>
    <row r="13" spans="1:14" ht="42" hidden="1" thickBot="1" x14ac:dyDescent="0.35">
      <c r="A13">
        <v>3</v>
      </c>
      <c r="B13" s="4">
        <v>45967.932037037041</v>
      </c>
      <c r="C13" s="5" t="s">
        <v>34</v>
      </c>
      <c r="D13" s="5">
        <v>1803640430</v>
      </c>
      <c r="E13" s="6">
        <v>31650</v>
      </c>
      <c r="F13" s="5" t="s">
        <v>35</v>
      </c>
      <c r="G13" s="5" t="s">
        <v>24</v>
      </c>
      <c r="H13" s="5" t="s">
        <v>18</v>
      </c>
      <c r="I13" s="5" t="s">
        <v>36</v>
      </c>
      <c r="J13" s="5" t="s">
        <v>37</v>
      </c>
      <c r="K13" s="5">
        <v>983356032</v>
      </c>
      <c r="L13" s="7" t="s">
        <v>21</v>
      </c>
      <c r="M13" s="7" t="s">
        <v>21</v>
      </c>
      <c r="N13" s="5" t="s">
        <v>22</v>
      </c>
    </row>
    <row r="14" spans="1:14" ht="28.2" hidden="1" thickBot="1" x14ac:dyDescent="0.35">
      <c r="A14">
        <v>5</v>
      </c>
      <c r="B14" s="8">
        <v>45968.646331018521</v>
      </c>
      <c r="C14" s="9" t="s">
        <v>38</v>
      </c>
      <c r="D14" s="9">
        <v>1002829727</v>
      </c>
      <c r="E14" s="10">
        <v>29669</v>
      </c>
      <c r="F14" s="9" t="s">
        <v>16</v>
      </c>
      <c r="G14" s="9" t="s">
        <v>17</v>
      </c>
      <c r="H14" s="9" t="s">
        <v>28</v>
      </c>
      <c r="I14" s="9" t="s">
        <v>19</v>
      </c>
      <c r="J14" s="9" t="s">
        <v>39</v>
      </c>
      <c r="K14" s="9">
        <v>988204932</v>
      </c>
      <c r="L14" s="11" t="s">
        <v>21</v>
      </c>
      <c r="M14" s="11" t="s">
        <v>21</v>
      </c>
      <c r="N14" s="9" t="s">
        <v>22</v>
      </c>
    </row>
    <row r="15" spans="1:14" ht="28.2" hidden="1" thickBot="1" x14ac:dyDescent="0.35">
      <c r="A15">
        <v>4</v>
      </c>
      <c r="B15" s="4">
        <v>45969.784745370373</v>
      </c>
      <c r="C15" s="5" t="s">
        <v>40</v>
      </c>
      <c r="D15" s="5">
        <v>912899390</v>
      </c>
      <c r="E15" s="6">
        <v>25420</v>
      </c>
      <c r="F15" s="5" t="s">
        <v>35</v>
      </c>
      <c r="G15" s="5" t="s">
        <v>24</v>
      </c>
      <c r="H15" s="5" t="s">
        <v>41</v>
      </c>
      <c r="I15" s="5" t="s">
        <v>36</v>
      </c>
      <c r="J15" s="5" t="s">
        <v>42</v>
      </c>
      <c r="K15" s="5">
        <v>996519496</v>
      </c>
      <c r="L15" s="7" t="s">
        <v>21</v>
      </c>
      <c r="M15" s="7" t="s">
        <v>21</v>
      </c>
      <c r="N15" s="5" t="s">
        <v>22</v>
      </c>
    </row>
    <row r="16" spans="1:14" ht="28.2" hidden="1" thickBot="1" x14ac:dyDescent="0.35">
      <c r="A16">
        <v>6</v>
      </c>
      <c r="B16" s="8">
        <v>45971.910057870373</v>
      </c>
      <c r="C16" s="9" t="s">
        <v>43</v>
      </c>
      <c r="D16" s="9">
        <v>1805725536</v>
      </c>
      <c r="E16" s="10">
        <v>40068</v>
      </c>
      <c r="F16" s="9" t="s">
        <v>16</v>
      </c>
      <c r="G16" s="9" t="s">
        <v>17</v>
      </c>
      <c r="H16" s="9" t="s">
        <v>44</v>
      </c>
      <c r="I16" s="9" t="s">
        <v>19</v>
      </c>
      <c r="J16" s="9" t="s">
        <v>45</v>
      </c>
      <c r="K16" s="9">
        <v>963350496</v>
      </c>
      <c r="L16" s="11" t="s">
        <v>21</v>
      </c>
      <c r="M16" s="11" t="s">
        <v>21</v>
      </c>
      <c r="N16" s="11" t="s">
        <v>21</v>
      </c>
    </row>
    <row r="17" spans="1:14" ht="55.8" hidden="1" thickBot="1" x14ac:dyDescent="0.35">
      <c r="A17">
        <v>7</v>
      </c>
      <c r="B17" s="4">
        <v>45972.917060185187</v>
      </c>
      <c r="C17" s="5" t="s">
        <v>46</v>
      </c>
      <c r="D17" s="5">
        <v>259330198</v>
      </c>
      <c r="E17" s="6">
        <v>37506</v>
      </c>
      <c r="F17" s="5" t="s">
        <v>16</v>
      </c>
      <c r="G17" s="5" t="s">
        <v>17</v>
      </c>
      <c r="H17" s="5"/>
      <c r="I17" s="5" t="s">
        <v>36</v>
      </c>
      <c r="J17" s="5" t="s">
        <v>47</v>
      </c>
      <c r="K17" s="5">
        <v>998344067</v>
      </c>
      <c r="L17" s="7" t="s">
        <v>21</v>
      </c>
      <c r="M17" s="7" t="s">
        <v>21</v>
      </c>
      <c r="N17" s="5" t="s">
        <v>22</v>
      </c>
    </row>
    <row r="18" spans="1:14" ht="55.8" hidden="1" thickBot="1" x14ac:dyDescent="0.35">
      <c r="A18">
        <v>8</v>
      </c>
      <c r="B18" s="8">
        <v>45973.566180555557</v>
      </c>
      <c r="C18" s="9" t="s">
        <v>46</v>
      </c>
      <c r="D18" s="9">
        <v>259330198</v>
      </c>
      <c r="E18" s="10">
        <v>37506</v>
      </c>
      <c r="F18" s="9" t="s">
        <v>16</v>
      </c>
      <c r="G18" s="9" t="s">
        <v>17</v>
      </c>
      <c r="H18" s="9" t="s">
        <v>18</v>
      </c>
      <c r="I18" s="9" t="s">
        <v>36</v>
      </c>
      <c r="J18" s="9" t="s">
        <v>47</v>
      </c>
      <c r="K18" s="9">
        <v>998344067</v>
      </c>
      <c r="L18" s="11" t="s">
        <v>21</v>
      </c>
      <c r="M18" s="11" t="s">
        <v>21</v>
      </c>
      <c r="N18" s="9" t="s">
        <v>22</v>
      </c>
    </row>
    <row r="19" spans="1:14" ht="55.8" thickBot="1" x14ac:dyDescent="0.35">
      <c r="B19" s="4">
        <v>45973.857048611113</v>
      </c>
      <c r="C19" s="5" t="s">
        <v>48</v>
      </c>
      <c r="D19" s="5">
        <v>250330149</v>
      </c>
      <c r="E19" s="6">
        <v>41403</v>
      </c>
      <c r="F19" s="5" t="s">
        <v>35</v>
      </c>
      <c r="G19" s="5" t="s">
        <v>49</v>
      </c>
      <c r="H19" s="5" t="s">
        <v>50</v>
      </c>
      <c r="I19" s="5" t="s">
        <v>36</v>
      </c>
      <c r="J19" s="5" t="s">
        <v>47</v>
      </c>
      <c r="K19" s="5">
        <v>998344067</v>
      </c>
      <c r="L19" s="7" t="s">
        <v>21</v>
      </c>
      <c r="M19" s="7" t="s">
        <v>21</v>
      </c>
      <c r="N19" s="7" t="s">
        <v>21</v>
      </c>
    </row>
    <row r="20" spans="1:14" ht="42" hidden="1" thickBot="1" x14ac:dyDescent="0.35">
      <c r="A20">
        <v>9</v>
      </c>
      <c r="B20" s="8">
        <v>45974.984606481485</v>
      </c>
      <c r="C20" s="9" t="s">
        <v>51</v>
      </c>
      <c r="D20" s="9">
        <v>1850976281</v>
      </c>
      <c r="E20" s="10">
        <v>37380</v>
      </c>
      <c r="F20" s="9" t="s">
        <v>35</v>
      </c>
      <c r="G20" s="9" t="s">
        <v>17</v>
      </c>
      <c r="H20" s="9" t="s">
        <v>18</v>
      </c>
      <c r="I20" s="9" t="s">
        <v>36</v>
      </c>
      <c r="J20" s="9" t="s">
        <v>52</v>
      </c>
      <c r="K20" s="9">
        <v>998764058</v>
      </c>
      <c r="L20" s="11" t="s">
        <v>21</v>
      </c>
      <c r="M20" s="11" t="s">
        <v>21</v>
      </c>
      <c r="N20" s="9" t="s">
        <v>22</v>
      </c>
    </row>
    <row r="21" spans="1:14" ht="42" hidden="1" thickBot="1" x14ac:dyDescent="0.35">
      <c r="A21">
        <v>10</v>
      </c>
      <c r="B21" s="4">
        <v>45974.984629629631</v>
      </c>
      <c r="C21" s="5" t="s">
        <v>51</v>
      </c>
      <c r="D21" s="5">
        <v>1850976281</v>
      </c>
      <c r="E21" s="6">
        <v>37380</v>
      </c>
      <c r="F21" s="5" t="s">
        <v>35</v>
      </c>
      <c r="G21" s="5" t="s">
        <v>17</v>
      </c>
      <c r="H21" s="5" t="s">
        <v>18</v>
      </c>
      <c r="I21" s="5" t="s">
        <v>36</v>
      </c>
      <c r="J21" s="5" t="s">
        <v>52</v>
      </c>
      <c r="K21" s="5">
        <v>998764058</v>
      </c>
      <c r="L21" s="7" t="s">
        <v>21</v>
      </c>
      <c r="M21" s="7" t="s">
        <v>21</v>
      </c>
      <c r="N21" s="5" t="s">
        <v>22</v>
      </c>
    </row>
    <row r="22" spans="1:14" ht="42" hidden="1" thickBot="1" x14ac:dyDescent="0.35">
      <c r="A22">
        <v>5</v>
      </c>
      <c r="B22" s="8">
        <v>45975.353622685187</v>
      </c>
      <c r="C22" s="9" t="s">
        <v>53</v>
      </c>
      <c r="D22" s="9">
        <v>604066852</v>
      </c>
      <c r="E22" s="10">
        <v>31714</v>
      </c>
      <c r="F22" s="9" t="s">
        <v>16</v>
      </c>
      <c r="G22" s="9" t="s">
        <v>24</v>
      </c>
      <c r="H22" s="9" t="s">
        <v>18</v>
      </c>
      <c r="I22" s="9" t="s">
        <v>19</v>
      </c>
      <c r="J22" s="9" t="s">
        <v>54</v>
      </c>
      <c r="K22" s="9">
        <v>995952248</v>
      </c>
      <c r="L22" s="11" t="s">
        <v>21</v>
      </c>
      <c r="M22" s="11" t="s">
        <v>21</v>
      </c>
      <c r="N22" s="9" t="s">
        <v>22</v>
      </c>
    </row>
    <row r="23" spans="1:14" ht="28.2" hidden="1" thickBot="1" x14ac:dyDescent="0.35">
      <c r="A23">
        <v>11</v>
      </c>
      <c r="B23" s="4">
        <v>45975.556250000001</v>
      </c>
      <c r="C23" s="5" t="s">
        <v>55</v>
      </c>
      <c r="D23" s="5">
        <v>1805137138</v>
      </c>
      <c r="E23" s="6">
        <v>35929</v>
      </c>
      <c r="F23" s="5" t="s">
        <v>16</v>
      </c>
      <c r="G23" s="5" t="s">
        <v>17</v>
      </c>
      <c r="H23" s="5" t="s">
        <v>18</v>
      </c>
      <c r="I23" s="5" t="s">
        <v>25</v>
      </c>
      <c r="J23" s="5" t="s">
        <v>56</v>
      </c>
      <c r="K23" s="5">
        <v>987448603</v>
      </c>
      <c r="L23" s="7" t="s">
        <v>21</v>
      </c>
      <c r="M23" s="7" t="s">
        <v>21</v>
      </c>
      <c r="N23" s="5" t="s">
        <v>22</v>
      </c>
    </row>
    <row r="24" spans="1:14" ht="42" hidden="1" thickBot="1" x14ac:dyDescent="0.35">
      <c r="A24">
        <v>12</v>
      </c>
      <c r="B24" s="8">
        <v>45975.635706018518</v>
      </c>
      <c r="C24" s="9" t="s">
        <v>57</v>
      </c>
      <c r="D24" s="9">
        <v>1722361308</v>
      </c>
      <c r="E24" s="10">
        <v>31972</v>
      </c>
      <c r="F24" s="9" t="s">
        <v>16</v>
      </c>
      <c r="G24" s="9" t="s">
        <v>17</v>
      </c>
      <c r="H24" s="9" t="s">
        <v>18</v>
      </c>
      <c r="I24" s="9" t="s">
        <v>36</v>
      </c>
      <c r="J24" s="9" t="s">
        <v>58</v>
      </c>
      <c r="K24" s="9">
        <v>987707504</v>
      </c>
      <c r="L24" s="11" t="s">
        <v>21</v>
      </c>
      <c r="M24" s="11" t="s">
        <v>21</v>
      </c>
      <c r="N24" s="9" t="s">
        <v>22</v>
      </c>
    </row>
    <row r="25" spans="1:14" ht="28.2" hidden="1" thickBot="1" x14ac:dyDescent="0.35">
      <c r="A25">
        <v>13</v>
      </c>
      <c r="B25" s="4">
        <v>45975.636770833335</v>
      </c>
      <c r="C25" s="5" t="s">
        <v>59</v>
      </c>
      <c r="D25" s="5">
        <v>1802308310</v>
      </c>
      <c r="E25" s="6">
        <v>23065</v>
      </c>
      <c r="F25" s="5" t="s">
        <v>35</v>
      </c>
      <c r="G25" s="5" t="s">
        <v>17</v>
      </c>
      <c r="H25" s="5" t="s">
        <v>28</v>
      </c>
      <c r="I25" s="5" t="s">
        <v>19</v>
      </c>
      <c r="J25" s="5" t="s">
        <v>60</v>
      </c>
      <c r="K25" s="5">
        <v>998215547</v>
      </c>
      <c r="L25" s="7" t="s">
        <v>21</v>
      </c>
      <c r="M25" s="7" t="s">
        <v>21</v>
      </c>
      <c r="N25" s="5" t="s">
        <v>22</v>
      </c>
    </row>
    <row r="26" spans="1:14" ht="28.2" hidden="1" thickBot="1" x14ac:dyDescent="0.35">
      <c r="A26">
        <v>6</v>
      </c>
      <c r="B26" s="8">
        <v>45975.864733796298</v>
      </c>
      <c r="C26" s="9" t="s">
        <v>61</v>
      </c>
      <c r="D26" s="9">
        <v>1804687752</v>
      </c>
      <c r="E26" s="10">
        <v>33927</v>
      </c>
      <c r="F26" s="9" t="s">
        <v>16</v>
      </c>
      <c r="G26" s="9" t="s">
        <v>24</v>
      </c>
      <c r="H26" s="9" t="s">
        <v>18</v>
      </c>
      <c r="I26" s="9" t="s">
        <v>25</v>
      </c>
      <c r="J26" s="9" t="s">
        <v>62</v>
      </c>
      <c r="K26" s="9">
        <v>987010844</v>
      </c>
      <c r="L26" s="11" t="s">
        <v>21</v>
      </c>
      <c r="M26" s="11" t="s">
        <v>21</v>
      </c>
      <c r="N26" s="9" t="s">
        <v>22</v>
      </c>
    </row>
    <row r="27" spans="1:14" ht="42" hidden="1" thickBot="1" x14ac:dyDescent="0.35">
      <c r="A27">
        <v>14</v>
      </c>
      <c r="B27" s="4">
        <v>45977.549097222225</v>
      </c>
      <c r="C27" s="5" t="s">
        <v>63</v>
      </c>
      <c r="D27" s="5">
        <v>1805291448</v>
      </c>
      <c r="E27" s="6">
        <v>36225</v>
      </c>
      <c r="F27" s="5" t="s">
        <v>16</v>
      </c>
      <c r="G27" s="5" t="s">
        <v>17</v>
      </c>
      <c r="H27" s="5" t="s">
        <v>18</v>
      </c>
      <c r="I27" s="5" t="s">
        <v>19</v>
      </c>
      <c r="J27" s="5" t="s">
        <v>64</v>
      </c>
      <c r="K27" s="5">
        <v>995045013</v>
      </c>
      <c r="L27" s="7" t="s">
        <v>21</v>
      </c>
      <c r="M27" s="7" t="s">
        <v>21</v>
      </c>
      <c r="N27" s="5" t="s">
        <v>22</v>
      </c>
    </row>
    <row r="28" spans="1:14" ht="28.2" hidden="1" thickBot="1" x14ac:dyDescent="0.35">
      <c r="A28">
        <v>15</v>
      </c>
      <c r="B28" s="8">
        <v>45977.902962962966</v>
      </c>
      <c r="C28" s="9" t="s">
        <v>65</v>
      </c>
      <c r="D28" s="9">
        <v>1600176919</v>
      </c>
      <c r="E28" s="10">
        <v>23127</v>
      </c>
      <c r="F28" s="9" t="s">
        <v>16</v>
      </c>
      <c r="G28" s="9" t="s">
        <v>17</v>
      </c>
      <c r="H28" s="9" t="s">
        <v>28</v>
      </c>
      <c r="I28" s="9" t="s">
        <v>19</v>
      </c>
      <c r="J28" s="9" t="s">
        <v>66</v>
      </c>
      <c r="K28" s="9">
        <v>981672043</v>
      </c>
      <c r="L28" s="11" t="s">
        <v>21</v>
      </c>
      <c r="M28" s="11" t="s">
        <v>21</v>
      </c>
      <c r="N28" s="9" t="s">
        <v>22</v>
      </c>
    </row>
    <row r="29" spans="1:14" ht="28.2" hidden="1" thickBot="1" x14ac:dyDescent="0.35">
      <c r="A29">
        <v>16</v>
      </c>
      <c r="B29" s="4">
        <v>45978.837719907409</v>
      </c>
      <c r="C29" s="5" t="s">
        <v>67</v>
      </c>
      <c r="D29" s="5">
        <v>550610935</v>
      </c>
      <c r="E29" s="6">
        <v>35756</v>
      </c>
      <c r="F29" s="5" t="s">
        <v>16</v>
      </c>
      <c r="G29" s="5" t="s">
        <v>17</v>
      </c>
      <c r="H29" s="5" t="s">
        <v>18</v>
      </c>
      <c r="I29" s="5" t="s">
        <v>25</v>
      </c>
      <c r="J29" s="5" t="s">
        <v>68</v>
      </c>
      <c r="K29" s="5">
        <v>984446176</v>
      </c>
      <c r="L29" s="7" t="s">
        <v>21</v>
      </c>
      <c r="M29" s="7" t="s">
        <v>21</v>
      </c>
      <c r="N29" s="5" t="s">
        <v>22</v>
      </c>
    </row>
    <row r="30" spans="1:14" ht="42" hidden="1" thickBot="1" x14ac:dyDescent="0.35">
      <c r="A30">
        <v>7</v>
      </c>
      <c r="B30" s="8">
        <v>45979.46502314815</v>
      </c>
      <c r="C30" s="9" t="s">
        <v>69</v>
      </c>
      <c r="D30" s="9">
        <v>1805417399</v>
      </c>
      <c r="E30" s="10">
        <v>35407</v>
      </c>
      <c r="F30" s="9" t="s">
        <v>16</v>
      </c>
      <c r="G30" s="9" t="s">
        <v>24</v>
      </c>
      <c r="H30" s="9" t="s">
        <v>18</v>
      </c>
      <c r="I30" s="9" t="s">
        <v>19</v>
      </c>
      <c r="J30" s="9" t="s">
        <v>70</v>
      </c>
      <c r="K30" s="9">
        <v>959610416</v>
      </c>
      <c r="L30" s="11" t="s">
        <v>21</v>
      </c>
      <c r="M30" s="11" t="s">
        <v>21</v>
      </c>
      <c r="N30" s="9" t="s">
        <v>22</v>
      </c>
    </row>
    <row r="31" spans="1:14" ht="42" hidden="1" thickBot="1" x14ac:dyDescent="0.35">
      <c r="A31">
        <v>8</v>
      </c>
      <c r="B31" s="4">
        <v>45980.564432870371</v>
      </c>
      <c r="C31" s="5" t="s">
        <v>71</v>
      </c>
      <c r="D31" s="5">
        <v>1718625377</v>
      </c>
      <c r="E31" s="6">
        <v>31741</v>
      </c>
      <c r="F31" s="5" t="s">
        <v>16</v>
      </c>
      <c r="G31" s="5" t="s">
        <v>24</v>
      </c>
      <c r="H31" s="5" t="s">
        <v>18</v>
      </c>
      <c r="I31" s="5" t="s">
        <v>25</v>
      </c>
      <c r="J31" s="5" t="s">
        <v>72</v>
      </c>
      <c r="K31" s="5">
        <v>984547063</v>
      </c>
      <c r="L31" s="7" t="s">
        <v>21</v>
      </c>
      <c r="M31" s="7" t="s">
        <v>21</v>
      </c>
      <c r="N31" s="5" t="s">
        <v>22</v>
      </c>
    </row>
    <row r="32" spans="1:14" ht="28.2" hidden="1" thickBot="1" x14ac:dyDescent="0.35">
      <c r="A32">
        <v>17</v>
      </c>
      <c r="B32" s="8">
        <v>45980.601319444446</v>
      </c>
      <c r="C32" s="9" t="s">
        <v>73</v>
      </c>
      <c r="D32" s="9">
        <v>1803991858</v>
      </c>
      <c r="E32" s="10">
        <v>33794</v>
      </c>
      <c r="F32" s="9" t="s">
        <v>16</v>
      </c>
      <c r="G32" s="9" t="s">
        <v>17</v>
      </c>
      <c r="H32" s="9" t="s">
        <v>18</v>
      </c>
      <c r="I32" s="9" t="s">
        <v>19</v>
      </c>
      <c r="J32" s="9" t="s">
        <v>74</v>
      </c>
      <c r="K32" s="9">
        <v>992985206</v>
      </c>
      <c r="L32" s="11" t="s">
        <v>21</v>
      </c>
      <c r="M32" s="11" t="s">
        <v>21</v>
      </c>
      <c r="N32" s="9" t="s">
        <v>22</v>
      </c>
    </row>
    <row r="33" spans="1:14" ht="42" hidden="1" thickBot="1" x14ac:dyDescent="0.35">
      <c r="A33">
        <v>18</v>
      </c>
      <c r="B33" s="4">
        <v>45980.711875000001</v>
      </c>
      <c r="C33" s="5" t="s">
        <v>75</v>
      </c>
      <c r="D33" s="5">
        <v>1804263695</v>
      </c>
      <c r="E33" s="6">
        <v>32758</v>
      </c>
      <c r="F33" s="5" t="s">
        <v>35</v>
      </c>
      <c r="G33" s="5" t="s">
        <v>17</v>
      </c>
      <c r="H33" s="5" t="s">
        <v>18</v>
      </c>
      <c r="I33" s="5" t="s">
        <v>76</v>
      </c>
      <c r="J33" s="5" t="s">
        <v>77</v>
      </c>
      <c r="K33" s="5">
        <v>995816368</v>
      </c>
      <c r="L33" s="7" t="s">
        <v>21</v>
      </c>
      <c r="M33" s="7" t="s">
        <v>21</v>
      </c>
      <c r="N33" s="5" t="s">
        <v>22</v>
      </c>
    </row>
    <row r="34" spans="1:14" ht="42" hidden="1" thickBot="1" x14ac:dyDescent="0.35">
      <c r="A34">
        <v>19</v>
      </c>
      <c r="B34" s="8">
        <v>45980.711886574078</v>
      </c>
      <c r="C34" s="9" t="s">
        <v>75</v>
      </c>
      <c r="D34" s="9">
        <v>1804263695</v>
      </c>
      <c r="E34" s="10">
        <v>32758</v>
      </c>
      <c r="F34" s="9" t="s">
        <v>35</v>
      </c>
      <c r="G34" s="9" t="s">
        <v>17</v>
      </c>
      <c r="H34" s="9" t="s">
        <v>18</v>
      </c>
      <c r="I34" s="9" t="s">
        <v>76</v>
      </c>
      <c r="J34" s="9" t="s">
        <v>77</v>
      </c>
      <c r="K34" s="9">
        <v>995816368</v>
      </c>
      <c r="L34" s="11" t="s">
        <v>21</v>
      </c>
      <c r="M34" s="11" t="s">
        <v>21</v>
      </c>
      <c r="N34" s="9" t="s">
        <v>22</v>
      </c>
    </row>
    <row r="35" spans="1:14" ht="42" hidden="1" thickBot="1" x14ac:dyDescent="0.35">
      <c r="A35">
        <v>20</v>
      </c>
      <c r="B35" s="4">
        <v>45980.92800925926</v>
      </c>
      <c r="C35" s="5" t="s">
        <v>78</v>
      </c>
      <c r="D35" s="5">
        <v>1804711115</v>
      </c>
      <c r="E35" s="6">
        <v>33848</v>
      </c>
      <c r="F35" s="5" t="s">
        <v>16</v>
      </c>
      <c r="G35" s="5" t="s">
        <v>17</v>
      </c>
      <c r="H35" s="5" t="s">
        <v>18</v>
      </c>
      <c r="I35" s="5" t="s">
        <v>25</v>
      </c>
      <c r="J35" s="5" t="s">
        <v>79</v>
      </c>
      <c r="K35" s="5">
        <v>987417045</v>
      </c>
      <c r="L35" s="7" t="s">
        <v>21</v>
      </c>
      <c r="M35" s="7" t="s">
        <v>21</v>
      </c>
      <c r="N35" s="5" t="s">
        <v>22</v>
      </c>
    </row>
    <row r="36" spans="1:14" ht="42" hidden="1" thickBot="1" x14ac:dyDescent="0.35">
      <c r="A36">
        <v>21</v>
      </c>
      <c r="B36" s="8">
        <v>45981.348877314813</v>
      </c>
      <c r="C36" s="9" t="s">
        <v>80</v>
      </c>
      <c r="D36" s="9">
        <v>1850690940</v>
      </c>
      <c r="E36" s="10">
        <v>39890</v>
      </c>
      <c r="F36" s="9" t="s">
        <v>16</v>
      </c>
      <c r="G36" s="9" t="s">
        <v>17</v>
      </c>
      <c r="H36" s="9" t="s">
        <v>44</v>
      </c>
      <c r="I36" s="9" t="s">
        <v>25</v>
      </c>
      <c r="J36" s="9" t="s">
        <v>81</v>
      </c>
      <c r="K36" s="9">
        <v>960670801</v>
      </c>
      <c r="L36" s="11" t="s">
        <v>21</v>
      </c>
      <c r="M36" s="11" t="s">
        <v>21</v>
      </c>
      <c r="N36" s="11" t="s">
        <v>21</v>
      </c>
    </row>
    <row r="37" spans="1:14" ht="42" thickBot="1" x14ac:dyDescent="0.35">
      <c r="B37" s="4">
        <v>45981.357199074075</v>
      </c>
      <c r="C37" s="5" t="s">
        <v>82</v>
      </c>
      <c r="D37" s="5">
        <v>1650049206</v>
      </c>
      <c r="E37" s="6">
        <v>41299</v>
      </c>
      <c r="F37" s="5" t="s">
        <v>35</v>
      </c>
      <c r="G37" s="5" t="s">
        <v>49</v>
      </c>
      <c r="H37" s="5" t="s">
        <v>50</v>
      </c>
      <c r="I37" s="5" t="s">
        <v>76</v>
      </c>
      <c r="J37" s="5" t="s">
        <v>81</v>
      </c>
      <c r="K37" s="5">
        <v>960670801</v>
      </c>
      <c r="L37" s="7" t="s">
        <v>21</v>
      </c>
      <c r="M37" s="7" t="s">
        <v>21</v>
      </c>
      <c r="N37" s="7" t="s">
        <v>21</v>
      </c>
    </row>
    <row r="38" spans="1:14" ht="55.8" thickBot="1" x14ac:dyDescent="0.35">
      <c r="B38" s="8">
        <v>45981.551874999997</v>
      </c>
      <c r="C38" s="9" t="s">
        <v>83</v>
      </c>
      <c r="D38" s="9">
        <v>1804299814</v>
      </c>
      <c r="E38" s="10">
        <v>42160</v>
      </c>
      <c r="F38" s="9" t="s">
        <v>16</v>
      </c>
      <c r="G38" s="9" t="s">
        <v>49</v>
      </c>
      <c r="H38" s="9" t="s">
        <v>50</v>
      </c>
      <c r="I38" s="9" t="s">
        <v>76</v>
      </c>
      <c r="J38" s="9" t="s">
        <v>84</v>
      </c>
      <c r="K38" s="9">
        <v>982343489</v>
      </c>
      <c r="L38" s="11" t="s">
        <v>21</v>
      </c>
      <c r="M38" s="11" t="s">
        <v>21</v>
      </c>
      <c r="N38" s="11" t="s">
        <v>21</v>
      </c>
    </row>
    <row r="39" spans="1:14" ht="42" hidden="1" thickBot="1" x14ac:dyDescent="0.35">
      <c r="A39">
        <v>9</v>
      </c>
      <c r="B39" s="4">
        <v>45981.625833333332</v>
      </c>
      <c r="C39" s="5" t="s">
        <v>71</v>
      </c>
      <c r="D39" s="5">
        <v>1718625377</v>
      </c>
      <c r="E39" s="6">
        <v>31741</v>
      </c>
      <c r="F39" s="5" t="s">
        <v>16</v>
      </c>
      <c r="G39" s="5" t="s">
        <v>24</v>
      </c>
      <c r="H39" s="5" t="s">
        <v>18</v>
      </c>
      <c r="I39" s="5" t="s">
        <v>25</v>
      </c>
      <c r="J39" s="5" t="s">
        <v>72</v>
      </c>
      <c r="K39" s="5">
        <v>984547063</v>
      </c>
      <c r="L39" s="7" t="s">
        <v>21</v>
      </c>
      <c r="M39" s="7" t="s">
        <v>21</v>
      </c>
      <c r="N39" s="5" t="s">
        <v>22</v>
      </c>
    </row>
    <row r="40" spans="1:14" ht="42" hidden="1" thickBot="1" x14ac:dyDescent="0.35">
      <c r="A40">
        <v>10</v>
      </c>
      <c r="B40" s="8">
        <v>45981.625856481478</v>
      </c>
      <c r="C40" s="9" t="s">
        <v>71</v>
      </c>
      <c r="D40" s="9">
        <v>1718625377</v>
      </c>
      <c r="E40" s="10">
        <v>31741</v>
      </c>
      <c r="F40" s="9" t="s">
        <v>16</v>
      </c>
      <c r="G40" s="9" t="s">
        <v>24</v>
      </c>
      <c r="H40" s="9" t="s">
        <v>18</v>
      </c>
      <c r="I40" s="9" t="s">
        <v>25</v>
      </c>
      <c r="J40" s="9" t="s">
        <v>72</v>
      </c>
      <c r="K40" s="9">
        <v>984547063</v>
      </c>
      <c r="L40" s="11" t="s">
        <v>21</v>
      </c>
      <c r="M40" s="11" t="s">
        <v>21</v>
      </c>
      <c r="N40" s="9" t="s">
        <v>22</v>
      </c>
    </row>
    <row r="41" spans="1:14" ht="42" hidden="1" thickBot="1" x14ac:dyDescent="0.35">
      <c r="A41">
        <v>11</v>
      </c>
      <c r="B41" s="4">
        <v>45981.626620370371</v>
      </c>
      <c r="C41" s="5" t="s">
        <v>71</v>
      </c>
      <c r="D41" s="5">
        <v>1718625377</v>
      </c>
      <c r="E41" s="6">
        <v>31741</v>
      </c>
      <c r="F41" s="5" t="s">
        <v>16</v>
      </c>
      <c r="G41" s="5" t="s">
        <v>24</v>
      </c>
      <c r="H41" s="5" t="s">
        <v>18</v>
      </c>
      <c r="I41" s="5" t="s">
        <v>25</v>
      </c>
      <c r="J41" s="5" t="s">
        <v>85</v>
      </c>
      <c r="K41" s="5">
        <v>984547063</v>
      </c>
      <c r="L41" s="7" t="s">
        <v>21</v>
      </c>
      <c r="M41" s="7" t="s">
        <v>21</v>
      </c>
      <c r="N41" s="5" t="s">
        <v>22</v>
      </c>
    </row>
    <row r="42" spans="1:14" ht="42" hidden="1" thickBot="1" x14ac:dyDescent="0.35">
      <c r="A42">
        <v>22</v>
      </c>
      <c r="B42" s="8">
        <v>45982.699733796297</v>
      </c>
      <c r="C42" s="9" t="s">
        <v>86</v>
      </c>
      <c r="D42" s="9">
        <v>1804943510</v>
      </c>
      <c r="E42" s="10">
        <v>35232</v>
      </c>
      <c r="F42" s="9" t="s">
        <v>16</v>
      </c>
      <c r="G42" s="9" t="s">
        <v>17</v>
      </c>
      <c r="H42" s="9" t="s">
        <v>18</v>
      </c>
      <c r="I42" s="9" t="s">
        <v>19</v>
      </c>
      <c r="J42" s="9" t="s">
        <v>87</v>
      </c>
      <c r="K42" s="9">
        <v>998463414</v>
      </c>
      <c r="L42" s="11" t="s">
        <v>21</v>
      </c>
      <c r="M42" s="11" t="s">
        <v>21</v>
      </c>
      <c r="N42" s="9" t="s">
        <v>22</v>
      </c>
    </row>
    <row r="43" spans="1:14" ht="42" hidden="1" thickBot="1" x14ac:dyDescent="0.35">
      <c r="A43">
        <v>23</v>
      </c>
      <c r="B43" s="4">
        <v>45982.842893518522</v>
      </c>
      <c r="C43" s="5" t="s">
        <v>88</v>
      </c>
      <c r="D43" s="5">
        <v>504120189</v>
      </c>
      <c r="E43" s="6">
        <v>38068</v>
      </c>
      <c r="F43" s="5" t="s">
        <v>16</v>
      </c>
      <c r="G43" s="5" t="s">
        <v>17</v>
      </c>
      <c r="H43" s="5" t="s">
        <v>18</v>
      </c>
      <c r="I43" s="5" t="s">
        <v>36</v>
      </c>
      <c r="J43" s="5" t="s">
        <v>89</v>
      </c>
      <c r="K43" s="5">
        <v>960516146</v>
      </c>
      <c r="L43" s="7" t="s">
        <v>21</v>
      </c>
      <c r="M43" s="7" t="s">
        <v>21</v>
      </c>
      <c r="N43" s="5" t="s">
        <v>22</v>
      </c>
    </row>
    <row r="44" spans="1:14" ht="28.2" hidden="1" thickBot="1" x14ac:dyDescent="0.35">
      <c r="A44">
        <v>24</v>
      </c>
      <c r="B44" s="8">
        <v>45985.404363425929</v>
      </c>
      <c r="C44" s="9" t="s">
        <v>90</v>
      </c>
      <c r="D44" s="9">
        <v>1804715298</v>
      </c>
      <c r="E44" s="10">
        <v>32867</v>
      </c>
      <c r="F44" s="9" t="s">
        <v>16</v>
      </c>
      <c r="G44" s="9" t="s">
        <v>17</v>
      </c>
      <c r="H44" s="9" t="s">
        <v>18</v>
      </c>
      <c r="I44" s="9" t="s">
        <v>25</v>
      </c>
      <c r="J44" s="9" t="s">
        <v>91</v>
      </c>
      <c r="K44" s="9">
        <v>998971042</v>
      </c>
      <c r="L44" s="11" t="s">
        <v>21</v>
      </c>
      <c r="M44" s="11" t="s">
        <v>21</v>
      </c>
      <c r="N44" s="9" t="s">
        <v>22</v>
      </c>
    </row>
    <row r="45" spans="1:14" ht="28.2" hidden="1" thickBot="1" x14ac:dyDescent="0.35">
      <c r="A45">
        <v>12</v>
      </c>
      <c r="B45" s="4">
        <v>45985.464953703704</v>
      </c>
      <c r="C45" s="5" t="s">
        <v>92</v>
      </c>
      <c r="D45" s="5">
        <v>604701557</v>
      </c>
      <c r="E45" s="6">
        <v>34202</v>
      </c>
      <c r="F45" s="5" t="s">
        <v>16</v>
      </c>
      <c r="G45" s="5" t="s">
        <v>24</v>
      </c>
      <c r="H45" s="5" t="s">
        <v>18</v>
      </c>
      <c r="I45" s="5" t="s">
        <v>19</v>
      </c>
      <c r="J45" s="5" t="s">
        <v>93</v>
      </c>
      <c r="K45" s="5">
        <v>991465965</v>
      </c>
      <c r="L45" s="7" t="s">
        <v>21</v>
      </c>
      <c r="M45" s="7" t="s">
        <v>21</v>
      </c>
      <c r="N45" s="5" t="s">
        <v>22</v>
      </c>
    </row>
    <row r="46" spans="1:14" ht="28.2" hidden="1" thickBot="1" x14ac:dyDescent="0.35">
      <c r="A46">
        <v>25</v>
      </c>
      <c r="B46" s="8">
        <v>45985.489849537036</v>
      </c>
      <c r="C46" s="9" t="s">
        <v>94</v>
      </c>
      <c r="D46" s="9">
        <v>1650118977</v>
      </c>
      <c r="E46" s="10">
        <v>39906</v>
      </c>
      <c r="F46" s="9" t="s">
        <v>16</v>
      </c>
      <c r="G46" s="9" t="s">
        <v>17</v>
      </c>
      <c r="H46" s="9" t="s">
        <v>44</v>
      </c>
      <c r="I46" s="9" t="s">
        <v>25</v>
      </c>
      <c r="J46" s="9" t="s">
        <v>95</v>
      </c>
      <c r="K46" s="9">
        <v>982365439</v>
      </c>
      <c r="L46" s="11" t="s">
        <v>21</v>
      </c>
      <c r="M46" s="11" t="s">
        <v>21</v>
      </c>
      <c r="N46" s="11" t="s">
        <v>21</v>
      </c>
    </row>
    <row r="47" spans="1:14" ht="28.2" hidden="1" thickBot="1" x14ac:dyDescent="0.35">
      <c r="A47">
        <v>26</v>
      </c>
      <c r="B47" s="4">
        <v>45985.491446759261</v>
      </c>
      <c r="C47" s="5" t="s">
        <v>96</v>
      </c>
      <c r="D47" s="5">
        <v>1600768210</v>
      </c>
      <c r="E47" s="6">
        <v>38913</v>
      </c>
      <c r="F47" s="5" t="s">
        <v>16</v>
      </c>
      <c r="G47" s="5" t="s">
        <v>17</v>
      </c>
      <c r="H47" s="5" t="s">
        <v>44</v>
      </c>
      <c r="I47" s="5" t="s">
        <v>25</v>
      </c>
      <c r="J47" s="5" t="s">
        <v>95</v>
      </c>
      <c r="K47" s="5">
        <v>982365439</v>
      </c>
      <c r="L47" s="7" t="s">
        <v>21</v>
      </c>
      <c r="M47" s="7" t="s">
        <v>21</v>
      </c>
      <c r="N47" s="5" t="s">
        <v>22</v>
      </c>
    </row>
    <row r="48" spans="1:14" ht="42" hidden="1" thickBot="1" x14ac:dyDescent="0.35">
      <c r="A48">
        <v>27</v>
      </c>
      <c r="B48" s="8">
        <v>45985.496018518519</v>
      </c>
      <c r="C48" s="9" t="s">
        <v>97</v>
      </c>
      <c r="D48" s="9">
        <v>1850380591</v>
      </c>
      <c r="E48" s="10">
        <v>38733</v>
      </c>
      <c r="F48" s="9" t="s">
        <v>35</v>
      </c>
      <c r="G48" s="9" t="s">
        <v>17</v>
      </c>
      <c r="H48" s="9"/>
      <c r="I48" s="9" t="s">
        <v>19</v>
      </c>
      <c r="J48" s="9" t="s">
        <v>98</v>
      </c>
      <c r="K48" s="9">
        <v>962033886</v>
      </c>
      <c r="L48" s="11" t="s">
        <v>21</v>
      </c>
      <c r="M48" s="11" t="s">
        <v>21</v>
      </c>
      <c r="N48" s="9" t="s">
        <v>22</v>
      </c>
    </row>
    <row r="49" spans="1:14" ht="28.2" hidden="1" thickBot="1" x14ac:dyDescent="0.35">
      <c r="A49">
        <v>28</v>
      </c>
      <c r="B49" s="4">
        <v>45985.625567129631</v>
      </c>
      <c r="C49" s="5" t="s">
        <v>99</v>
      </c>
      <c r="D49" s="5">
        <v>1758299224</v>
      </c>
      <c r="E49" s="6">
        <v>36106</v>
      </c>
      <c r="F49" s="5" t="s">
        <v>35</v>
      </c>
      <c r="G49" s="5" t="s">
        <v>17</v>
      </c>
      <c r="H49" s="5" t="s">
        <v>18</v>
      </c>
      <c r="I49" s="5" t="s">
        <v>19</v>
      </c>
      <c r="J49" s="5" t="s">
        <v>100</v>
      </c>
      <c r="K49" s="5">
        <v>980972840</v>
      </c>
      <c r="L49" s="7" t="s">
        <v>21</v>
      </c>
      <c r="M49" s="7" t="s">
        <v>21</v>
      </c>
      <c r="N49" s="5" t="s">
        <v>22</v>
      </c>
    </row>
    <row r="50" spans="1:14" ht="42" hidden="1" thickBot="1" x14ac:dyDescent="0.35">
      <c r="A50">
        <v>29</v>
      </c>
      <c r="B50" s="8">
        <v>45985.626539351855</v>
      </c>
      <c r="C50" s="9" t="s">
        <v>101</v>
      </c>
      <c r="D50" s="9">
        <v>1760635241</v>
      </c>
      <c r="E50" s="10">
        <v>34585</v>
      </c>
      <c r="F50" s="9" t="s">
        <v>35</v>
      </c>
      <c r="G50" s="9" t="s">
        <v>17</v>
      </c>
      <c r="H50" s="9" t="s">
        <v>18</v>
      </c>
      <c r="I50" s="9" t="s">
        <v>19</v>
      </c>
      <c r="J50" s="9" t="s">
        <v>102</v>
      </c>
      <c r="K50" s="9">
        <v>994774554</v>
      </c>
      <c r="L50" s="11" t="s">
        <v>21</v>
      </c>
      <c r="M50" s="11" t="s">
        <v>21</v>
      </c>
      <c r="N50" s="9" t="s">
        <v>22</v>
      </c>
    </row>
    <row r="51" spans="1:14" ht="28.2" hidden="1" thickBot="1" x14ac:dyDescent="0.35">
      <c r="A51">
        <v>30</v>
      </c>
      <c r="B51" s="4">
        <v>45985.627245370371</v>
      </c>
      <c r="C51" s="5" t="s">
        <v>103</v>
      </c>
      <c r="D51" s="5">
        <v>1600831919</v>
      </c>
      <c r="E51" s="6">
        <v>34453</v>
      </c>
      <c r="F51" s="5" t="s">
        <v>16</v>
      </c>
      <c r="G51" s="5" t="s">
        <v>17</v>
      </c>
      <c r="H51" s="5" t="s">
        <v>18</v>
      </c>
      <c r="I51" s="5" t="s">
        <v>19</v>
      </c>
      <c r="J51" s="5" t="s">
        <v>104</v>
      </c>
      <c r="K51" s="5">
        <v>995664286</v>
      </c>
      <c r="L51" s="7" t="s">
        <v>21</v>
      </c>
      <c r="M51" s="7" t="s">
        <v>21</v>
      </c>
      <c r="N51" s="5" t="s">
        <v>22</v>
      </c>
    </row>
    <row r="52" spans="1:14" ht="42" hidden="1" thickBot="1" x14ac:dyDescent="0.35">
      <c r="A52">
        <v>31</v>
      </c>
      <c r="B52" s="8">
        <v>45985.62804398148</v>
      </c>
      <c r="C52" s="9" t="s">
        <v>105</v>
      </c>
      <c r="D52" s="9">
        <v>1805081633</v>
      </c>
      <c r="E52" s="10">
        <v>35416</v>
      </c>
      <c r="F52" s="9" t="s">
        <v>35</v>
      </c>
      <c r="G52" s="9" t="s">
        <v>17</v>
      </c>
      <c r="H52" s="9" t="s">
        <v>18</v>
      </c>
      <c r="I52" s="9" t="s">
        <v>36</v>
      </c>
      <c r="J52" s="9" t="s">
        <v>106</v>
      </c>
      <c r="K52" s="9">
        <v>982168555</v>
      </c>
      <c r="L52" s="11" t="s">
        <v>21</v>
      </c>
      <c r="M52" s="11" t="s">
        <v>21</v>
      </c>
      <c r="N52" s="9" t="s">
        <v>22</v>
      </c>
    </row>
    <row r="53" spans="1:14" ht="28.2" hidden="1" thickBot="1" x14ac:dyDescent="0.35">
      <c r="A53">
        <v>32</v>
      </c>
      <c r="B53" s="4">
        <v>45985.628784722219</v>
      </c>
      <c r="C53" s="5" t="s">
        <v>107</v>
      </c>
      <c r="D53" s="5">
        <v>1600525982</v>
      </c>
      <c r="E53" s="6">
        <v>33235</v>
      </c>
      <c r="F53" s="5" t="s">
        <v>16</v>
      </c>
      <c r="G53" s="5" t="s">
        <v>17</v>
      </c>
      <c r="H53" s="5" t="s">
        <v>18</v>
      </c>
      <c r="I53" s="5" t="s">
        <v>25</v>
      </c>
      <c r="J53" s="5" t="s">
        <v>108</v>
      </c>
      <c r="K53" s="5">
        <v>983184214</v>
      </c>
      <c r="L53" s="7" t="s">
        <v>21</v>
      </c>
      <c r="M53" s="7" t="s">
        <v>21</v>
      </c>
      <c r="N53" s="5" t="s">
        <v>22</v>
      </c>
    </row>
    <row r="54" spans="1:14" ht="28.2" hidden="1" thickBot="1" x14ac:dyDescent="0.35">
      <c r="A54">
        <v>33</v>
      </c>
      <c r="B54" s="8">
        <v>45985.629479166666</v>
      </c>
      <c r="C54" s="9" t="s">
        <v>109</v>
      </c>
      <c r="D54" s="9">
        <v>1600623266</v>
      </c>
      <c r="E54" s="10">
        <v>33647</v>
      </c>
      <c r="F54" s="9" t="s">
        <v>16</v>
      </c>
      <c r="G54" s="9" t="s">
        <v>17</v>
      </c>
      <c r="H54" s="9" t="s">
        <v>18</v>
      </c>
      <c r="I54" s="9" t="s">
        <v>19</v>
      </c>
      <c r="J54" s="9" t="s">
        <v>110</v>
      </c>
      <c r="K54" s="9">
        <v>984830279</v>
      </c>
      <c r="L54" s="11" t="s">
        <v>21</v>
      </c>
      <c r="M54" s="11" t="s">
        <v>21</v>
      </c>
      <c r="N54" s="9" t="s">
        <v>22</v>
      </c>
    </row>
    <row r="55" spans="1:14" ht="28.2" hidden="1" thickBot="1" x14ac:dyDescent="0.35">
      <c r="A55">
        <v>34</v>
      </c>
      <c r="B55" s="4">
        <v>45985.630243055559</v>
      </c>
      <c r="C55" s="5" t="s">
        <v>111</v>
      </c>
      <c r="D55" s="5">
        <v>1315078202</v>
      </c>
      <c r="E55" s="6">
        <v>34265</v>
      </c>
      <c r="F55" s="5" t="s">
        <v>16</v>
      </c>
      <c r="G55" s="5" t="s">
        <v>17</v>
      </c>
      <c r="H55" s="5" t="s">
        <v>18</v>
      </c>
      <c r="I55" s="5" t="s">
        <v>25</v>
      </c>
      <c r="J55" s="5" t="s">
        <v>112</v>
      </c>
      <c r="K55" s="5">
        <v>986156867</v>
      </c>
      <c r="L55" s="7" t="s">
        <v>21</v>
      </c>
      <c r="M55" s="7" t="s">
        <v>21</v>
      </c>
      <c r="N55" s="5" t="s">
        <v>22</v>
      </c>
    </row>
    <row r="56" spans="1:14" ht="42" hidden="1" thickBot="1" x14ac:dyDescent="0.35">
      <c r="A56">
        <v>35</v>
      </c>
      <c r="B56" s="8">
        <v>45985.631099537037</v>
      </c>
      <c r="C56" s="9" t="s">
        <v>113</v>
      </c>
      <c r="D56" s="9">
        <v>703553776</v>
      </c>
      <c r="E56" s="10">
        <v>27884</v>
      </c>
      <c r="F56" s="9" t="s">
        <v>16</v>
      </c>
      <c r="G56" s="9" t="s">
        <v>17</v>
      </c>
      <c r="H56" s="9" t="s">
        <v>28</v>
      </c>
      <c r="I56" s="9" t="s">
        <v>19</v>
      </c>
      <c r="J56" s="9" t="s">
        <v>114</v>
      </c>
      <c r="K56" s="9">
        <v>984567909</v>
      </c>
      <c r="L56" s="11" t="s">
        <v>21</v>
      </c>
      <c r="M56" s="11" t="s">
        <v>21</v>
      </c>
      <c r="N56" s="9" t="s">
        <v>22</v>
      </c>
    </row>
    <row r="57" spans="1:14" ht="28.2" hidden="1" thickBot="1" x14ac:dyDescent="0.35">
      <c r="A57">
        <v>36</v>
      </c>
      <c r="B57" s="4">
        <v>45985.632037037038</v>
      </c>
      <c r="C57" s="5" t="s">
        <v>115</v>
      </c>
      <c r="D57" s="5">
        <v>1718894817</v>
      </c>
      <c r="E57" s="6">
        <v>33188</v>
      </c>
      <c r="F57" s="5" t="s">
        <v>16</v>
      </c>
      <c r="G57" s="5" t="s">
        <v>17</v>
      </c>
      <c r="H57" s="5" t="s">
        <v>18</v>
      </c>
      <c r="I57" s="5" t="s">
        <v>25</v>
      </c>
      <c r="J57" s="5" t="s">
        <v>116</v>
      </c>
      <c r="K57" s="5">
        <v>983568588</v>
      </c>
      <c r="L57" s="7" t="s">
        <v>21</v>
      </c>
      <c r="M57" s="7" t="s">
        <v>21</v>
      </c>
      <c r="N57" s="5" t="s">
        <v>22</v>
      </c>
    </row>
    <row r="58" spans="1:14" ht="28.2" hidden="1" thickBot="1" x14ac:dyDescent="0.35">
      <c r="A58">
        <v>37</v>
      </c>
      <c r="B58" s="8">
        <v>45985.645613425928</v>
      </c>
      <c r="C58" s="9" t="s">
        <v>117</v>
      </c>
      <c r="D58" s="9">
        <v>605797034</v>
      </c>
      <c r="E58" s="10">
        <v>38238</v>
      </c>
      <c r="F58" s="9" t="s">
        <v>16</v>
      </c>
      <c r="G58" s="9" t="s">
        <v>17</v>
      </c>
      <c r="H58" s="9" t="s">
        <v>18</v>
      </c>
      <c r="I58" s="9" t="s">
        <v>118</v>
      </c>
      <c r="J58" s="9" t="s">
        <v>119</v>
      </c>
      <c r="K58" s="9">
        <v>939919921</v>
      </c>
      <c r="L58" s="11" t="s">
        <v>21</v>
      </c>
      <c r="M58" s="11" t="s">
        <v>21</v>
      </c>
      <c r="N58" s="9" t="s">
        <v>22</v>
      </c>
    </row>
    <row r="59" spans="1:14" ht="28.2" hidden="1" thickBot="1" x14ac:dyDescent="0.35">
      <c r="A59">
        <v>38</v>
      </c>
      <c r="B59" s="4">
        <v>45985.812557870369</v>
      </c>
      <c r="C59" s="5" t="s">
        <v>120</v>
      </c>
      <c r="D59" s="5">
        <v>1804619102</v>
      </c>
      <c r="E59" s="6">
        <v>35168</v>
      </c>
      <c r="F59" s="5" t="s">
        <v>16</v>
      </c>
      <c r="G59" s="5" t="s">
        <v>17</v>
      </c>
      <c r="H59" s="5" t="s">
        <v>18</v>
      </c>
      <c r="I59" s="5" t="s">
        <v>19</v>
      </c>
      <c r="J59" s="5" t="s">
        <v>121</v>
      </c>
      <c r="K59" s="5">
        <v>991824031</v>
      </c>
      <c r="L59" s="7" t="s">
        <v>21</v>
      </c>
      <c r="M59" s="7" t="s">
        <v>21</v>
      </c>
      <c r="N59" s="5" t="s">
        <v>22</v>
      </c>
    </row>
    <row r="60" spans="1:14" ht="42" hidden="1" thickBot="1" x14ac:dyDescent="0.35">
      <c r="A60">
        <v>13</v>
      </c>
      <c r="B60" s="8">
        <v>45985.815752314818</v>
      </c>
      <c r="C60" s="9" t="s">
        <v>122</v>
      </c>
      <c r="D60" s="9">
        <v>1804681425</v>
      </c>
      <c r="E60" s="10">
        <v>34723</v>
      </c>
      <c r="F60" s="9" t="s">
        <v>16</v>
      </c>
      <c r="G60" s="9" t="s">
        <v>24</v>
      </c>
      <c r="H60" s="9" t="s">
        <v>18</v>
      </c>
      <c r="I60" s="9" t="s">
        <v>19</v>
      </c>
      <c r="J60" s="9" t="s">
        <v>123</v>
      </c>
      <c r="K60" s="9">
        <v>984647592</v>
      </c>
      <c r="L60" s="11" t="s">
        <v>21</v>
      </c>
      <c r="M60" s="11" t="s">
        <v>21</v>
      </c>
      <c r="N60" s="9" t="s">
        <v>22</v>
      </c>
    </row>
    <row r="61" spans="1:14" ht="28.2" hidden="1" thickBot="1" x14ac:dyDescent="0.35">
      <c r="A61">
        <v>39</v>
      </c>
      <c r="B61" s="4">
        <v>45985.875497685185</v>
      </c>
      <c r="C61" s="5" t="s">
        <v>124</v>
      </c>
      <c r="D61" s="5">
        <v>1650016056</v>
      </c>
      <c r="E61" s="6">
        <v>39086</v>
      </c>
      <c r="F61" s="5" t="s">
        <v>16</v>
      </c>
      <c r="G61" s="5" t="s">
        <v>17</v>
      </c>
      <c r="H61" s="5" t="s">
        <v>44</v>
      </c>
      <c r="I61" s="5" t="s">
        <v>19</v>
      </c>
      <c r="J61" s="5" t="s">
        <v>125</v>
      </c>
      <c r="K61" s="5">
        <v>993379093</v>
      </c>
      <c r="L61" s="7" t="s">
        <v>21</v>
      </c>
      <c r="M61" s="7" t="s">
        <v>21</v>
      </c>
      <c r="N61" s="5" t="s">
        <v>22</v>
      </c>
    </row>
    <row r="62" spans="1:14" ht="42" hidden="1" thickBot="1" x14ac:dyDescent="0.35">
      <c r="A62">
        <v>40</v>
      </c>
      <c r="B62" s="8">
        <v>45985.904050925928</v>
      </c>
      <c r="C62" s="9" t="s">
        <v>126</v>
      </c>
      <c r="D62" s="9">
        <v>503247967</v>
      </c>
      <c r="E62" s="10">
        <v>32130</v>
      </c>
      <c r="F62" s="9" t="s">
        <v>35</v>
      </c>
      <c r="G62" s="9" t="s">
        <v>17</v>
      </c>
      <c r="H62" s="9" t="s">
        <v>18</v>
      </c>
      <c r="I62" s="9" t="s">
        <v>19</v>
      </c>
      <c r="J62" s="9" t="s">
        <v>127</v>
      </c>
      <c r="K62" s="9">
        <v>958825517</v>
      </c>
      <c r="L62" s="11" t="s">
        <v>21</v>
      </c>
      <c r="M62" s="11" t="s">
        <v>21</v>
      </c>
      <c r="N62" s="9" t="s">
        <v>22</v>
      </c>
    </row>
    <row r="63" spans="1:14" ht="28.2" hidden="1" thickBot="1" x14ac:dyDescent="0.35">
      <c r="A63">
        <v>14</v>
      </c>
      <c r="B63" s="4">
        <v>45985.907314814816</v>
      </c>
      <c r="C63" s="5" t="s">
        <v>128</v>
      </c>
      <c r="D63" s="5">
        <v>1805388814</v>
      </c>
      <c r="E63" s="6">
        <v>38217</v>
      </c>
      <c r="F63" s="5" t="s">
        <v>35</v>
      </c>
      <c r="G63" s="5" t="s">
        <v>24</v>
      </c>
      <c r="H63" s="5" t="s">
        <v>18</v>
      </c>
      <c r="I63" s="5" t="s">
        <v>36</v>
      </c>
      <c r="J63" s="5" t="s">
        <v>129</v>
      </c>
      <c r="K63" s="5">
        <v>961322332</v>
      </c>
      <c r="L63" s="7" t="s">
        <v>21</v>
      </c>
      <c r="M63" s="7" t="s">
        <v>21</v>
      </c>
      <c r="N63" s="5" t="s">
        <v>22</v>
      </c>
    </row>
    <row r="64" spans="1:14" ht="42" hidden="1" thickBot="1" x14ac:dyDescent="0.35">
      <c r="A64">
        <v>15</v>
      </c>
      <c r="B64" s="8">
        <v>45985.909062500003</v>
      </c>
      <c r="C64" s="9" t="s">
        <v>130</v>
      </c>
      <c r="D64" s="9">
        <v>1805387105</v>
      </c>
      <c r="E64" s="10">
        <v>36953</v>
      </c>
      <c r="F64" s="9" t="s">
        <v>35</v>
      </c>
      <c r="G64" s="9" t="s">
        <v>24</v>
      </c>
      <c r="H64" s="9" t="s">
        <v>18</v>
      </c>
      <c r="I64" s="9" t="s">
        <v>19</v>
      </c>
      <c r="J64" s="9" t="s">
        <v>131</v>
      </c>
      <c r="K64" s="9">
        <v>995671202</v>
      </c>
      <c r="L64" s="11" t="s">
        <v>21</v>
      </c>
      <c r="M64" s="11" t="s">
        <v>21</v>
      </c>
      <c r="N64" s="9" t="s">
        <v>22</v>
      </c>
    </row>
    <row r="65" spans="1:14" ht="28.2" hidden="1" thickBot="1" x14ac:dyDescent="0.35">
      <c r="A65">
        <v>41</v>
      </c>
      <c r="B65" s="4">
        <v>45985.909398148149</v>
      </c>
      <c r="C65" s="5" t="s">
        <v>132</v>
      </c>
      <c r="D65" s="5">
        <v>503613077</v>
      </c>
      <c r="E65" s="6">
        <v>32810</v>
      </c>
      <c r="F65" s="5" t="s">
        <v>16</v>
      </c>
      <c r="G65" s="5" t="s">
        <v>17</v>
      </c>
      <c r="H65" s="5" t="s">
        <v>18</v>
      </c>
      <c r="I65" s="5" t="s">
        <v>19</v>
      </c>
      <c r="J65" s="5" t="s">
        <v>133</v>
      </c>
      <c r="K65" s="5">
        <v>997301353</v>
      </c>
      <c r="L65" s="7" t="s">
        <v>21</v>
      </c>
      <c r="M65" s="7" t="s">
        <v>21</v>
      </c>
      <c r="N65" s="5" t="s">
        <v>22</v>
      </c>
    </row>
    <row r="66" spans="1:14" ht="28.2" hidden="1" thickBot="1" x14ac:dyDescent="0.35">
      <c r="A66">
        <v>42</v>
      </c>
      <c r="B66" s="8">
        <v>45986.371863425928</v>
      </c>
      <c r="C66" s="9" t="s">
        <v>134</v>
      </c>
      <c r="D66" s="9">
        <v>1804046629</v>
      </c>
      <c r="E66" s="10">
        <v>32265</v>
      </c>
      <c r="F66" s="9" t="s">
        <v>16</v>
      </c>
      <c r="G66" s="9" t="s">
        <v>17</v>
      </c>
      <c r="H66" s="9" t="s">
        <v>18</v>
      </c>
      <c r="I66" s="9" t="s">
        <v>19</v>
      </c>
      <c r="J66" s="9" t="s">
        <v>135</v>
      </c>
      <c r="K66" s="9">
        <v>999076717</v>
      </c>
      <c r="L66" s="11" t="s">
        <v>21</v>
      </c>
      <c r="M66" s="11" t="s">
        <v>21</v>
      </c>
      <c r="N66" s="9" t="s">
        <v>22</v>
      </c>
    </row>
    <row r="67" spans="1:14" ht="28.2" hidden="1" thickBot="1" x14ac:dyDescent="0.35">
      <c r="A67">
        <v>43</v>
      </c>
      <c r="B67" s="4">
        <v>45986.372083333335</v>
      </c>
      <c r="C67" s="5" t="s">
        <v>134</v>
      </c>
      <c r="D67" s="5">
        <v>1804046629</v>
      </c>
      <c r="E67" s="6">
        <v>32265</v>
      </c>
      <c r="F67" s="5" t="s">
        <v>16</v>
      </c>
      <c r="G67" s="5" t="s">
        <v>17</v>
      </c>
      <c r="H67" s="5" t="s">
        <v>18</v>
      </c>
      <c r="I67" s="5" t="s">
        <v>19</v>
      </c>
      <c r="J67" s="5" t="s">
        <v>135</v>
      </c>
      <c r="K67" s="5">
        <v>999076717</v>
      </c>
      <c r="L67" s="7" t="s">
        <v>21</v>
      </c>
      <c r="M67" s="7" t="s">
        <v>21</v>
      </c>
      <c r="N67" s="5" t="s">
        <v>22</v>
      </c>
    </row>
    <row r="68" spans="1:14" ht="28.2" hidden="1" thickBot="1" x14ac:dyDescent="0.35">
      <c r="A68">
        <v>44</v>
      </c>
      <c r="B68" s="8">
        <v>45986.372164351851</v>
      </c>
      <c r="C68" s="9" t="s">
        <v>134</v>
      </c>
      <c r="D68" s="9">
        <v>1804046629</v>
      </c>
      <c r="E68" s="10">
        <v>32265</v>
      </c>
      <c r="F68" s="9" t="s">
        <v>16</v>
      </c>
      <c r="G68" s="9" t="s">
        <v>17</v>
      </c>
      <c r="H68" s="9" t="s">
        <v>18</v>
      </c>
      <c r="I68" s="9" t="s">
        <v>19</v>
      </c>
      <c r="J68" s="9" t="s">
        <v>135</v>
      </c>
      <c r="K68" s="9">
        <v>999076717</v>
      </c>
      <c r="L68" s="11" t="s">
        <v>21</v>
      </c>
      <c r="M68" s="11" t="s">
        <v>21</v>
      </c>
      <c r="N68" s="9" t="s">
        <v>22</v>
      </c>
    </row>
    <row r="69" spans="1:14" ht="42" hidden="1" thickBot="1" x14ac:dyDescent="0.35">
      <c r="A69">
        <v>16</v>
      </c>
      <c r="B69" s="4">
        <v>45986.47415509259</v>
      </c>
      <c r="C69" s="5" t="s">
        <v>136</v>
      </c>
      <c r="D69" s="5">
        <v>1723213011</v>
      </c>
      <c r="E69" s="6">
        <v>31621</v>
      </c>
      <c r="F69" s="5" t="s">
        <v>35</v>
      </c>
      <c r="G69" s="5" t="s">
        <v>24</v>
      </c>
      <c r="H69" s="5" t="s">
        <v>18</v>
      </c>
      <c r="I69" s="5" t="s">
        <v>36</v>
      </c>
      <c r="J69" s="5" t="s">
        <v>137</v>
      </c>
      <c r="K69" s="5">
        <v>984521028</v>
      </c>
      <c r="L69" s="7" t="s">
        <v>21</v>
      </c>
      <c r="M69" s="7" t="s">
        <v>21</v>
      </c>
      <c r="N69" s="5" t="s">
        <v>22</v>
      </c>
    </row>
    <row r="70" spans="1:14" ht="42" hidden="1" thickBot="1" x14ac:dyDescent="0.35">
      <c r="A70">
        <v>17</v>
      </c>
      <c r="B70" s="8">
        <v>45986.481388888889</v>
      </c>
      <c r="C70" s="9" t="s">
        <v>138</v>
      </c>
      <c r="D70" s="9">
        <v>1803151933</v>
      </c>
      <c r="E70" s="10">
        <v>29193</v>
      </c>
      <c r="F70" s="9" t="s">
        <v>16</v>
      </c>
      <c r="G70" s="9" t="s">
        <v>24</v>
      </c>
      <c r="H70" s="9" t="s">
        <v>28</v>
      </c>
      <c r="I70" s="9" t="s">
        <v>19</v>
      </c>
      <c r="J70" s="9" t="s">
        <v>139</v>
      </c>
      <c r="K70" s="9">
        <v>999589553</v>
      </c>
      <c r="L70" s="11" t="s">
        <v>21</v>
      </c>
      <c r="M70" s="11" t="s">
        <v>21</v>
      </c>
      <c r="N70" s="9" t="s">
        <v>22</v>
      </c>
    </row>
    <row r="71" spans="1:14" ht="42" hidden="1" thickBot="1" x14ac:dyDescent="0.35">
      <c r="A71">
        <v>18</v>
      </c>
      <c r="B71" s="4">
        <v>45986.48505787037</v>
      </c>
      <c r="C71" s="5" t="s">
        <v>140</v>
      </c>
      <c r="D71" s="5">
        <v>1600745440</v>
      </c>
      <c r="E71" s="6">
        <v>33371</v>
      </c>
      <c r="F71" s="5" t="s">
        <v>16</v>
      </c>
      <c r="G71" s="5" t="s">
        <v>24</v>
      </c>
      <c r="H71" s="5" t="s">
        <v>18</v>
      </c>
      <c r="I71" s="5" t="s">
        <v>141</v>
      </c>
      <c r="J71" s="5" t="s">
        <v>142</v>
      </c>
      <c r="K71" s="5">
        <v>939684040</v>
      </c>
      <c r="L71" s="7" t="s">
        <v>21</v>
      </c>
      <c r="M71" s="7" t="s">
        <v>21</v>
      </c>
      <c r="N71" s="5" t="s">
        <v>22</v>
      </c>
    </row>
    <row r="72" spans="1:14" ht="42" hidden="1" thickBot="1" x14ac:dyDescent="0.35">
      <c r="A72">
        <v>19</v>
      </c>
      <c r="B72" s="8">
        <v>45986.489236111112</v>
      </c>
      <c r="C72" s="9" t="s">
        <v>143</v>
      </c>
      <c r="D72" s="9">
        <v>601962210</v>
      </c>
      <c r="E72" s="10">
        <v>24435</v>
      </c>
      <c r="F72" s="9" t="s">
        <v>16</v>
      </c>
      <c r="G72" s="9" t="s">
        <v>24</v>
      </c>
      <c r="H72" s="9" t="s">
        <v>41</v>
      </c>
      <c r="I72" s="9" t="s">
        <v>118</v>
      </c>
      <c r="J72" s="9" t="s">
        <v>144</v>
      </c>
      <c r="K72" s="9">
        <v>961652214</v>
      </c>
      <c r="L72" s="11" t="s">
        <v>21</v>
      </c>
      <c r="M72" s="11" t="s">
        <v>21</v>
      </c>
      <c r="N72" s="9" t="s">
        <v>22</v>
      </c>
    </row>
    <row r="73" spans="1:14" ht="42" hidden="1" thickBot="1" x14ac:dyDescent="0.35">
      <c r="A73">
        <v>20</v>
      </c>
      <c r="B73" s="4">
        <v>45986.491793981484</v>
      </c>
      <c r="C73" s="5" t="s">
        <v>145</v>
      </c>
      <c r="D73" s="5">
        <v>1600831893</v>
      </c>
      <c r="E73" s="6">
        <v>32950</v>
      </c>
      <c r="F73" s="5" t="s">
        <v>35</v>
      </c>
      <c r="G73" s="5" t="s">
        <v>24</v>
      </c>
      <c r="H73" s="5" t="s">
        <v>18</v>
      </c>
      <c r="I73" s="5" t="s">
        <v>76</v>
      </c>
      <c r="J73" s="5" t="s">
        <v>146</v>
      </c>
      <c r="K73" s="5">
        <v>983577782</v>
      </c>
      <c r="L73" s="7" t="s">
        <v>21</v>
      </c>
      <c r="M73" s="7" t="s">
        <v>21</v>
      </c>
      <c r="N73" s="5" t="s">
        <v>22</v>
      </c>
    </row>
    <row r="74" spans="1:14" ht="42" hidden="1" thickBot="1" x14ac:dyDescent="0.35">
      <c r="A74">
        <v>21</v>
      </c>
      <c r="B74" s="8">
        <v>45986.495127314818</v>
      </c>
      <c r="C74" s="9" t="s">
        <v>147</v>
      </c>
      <c r="D74" s="9">
        <v>605029354</v>
      </c>
      <c r="E74" s="10">
        <v>34596</v>
      </c>
      <c r="F74" s="9" t="s">
        <v>16</v>
      </c>
      <c r="G74" s="9" t="s">
        <v>24</v>
      </c>
      <c r="H74" s="9" t="s">
        <v>18</v>
      </c>
      <c r="I74" s="9" t="s">
        <v>19</v>
      </c>
      <c r="J74" s="9" t="s">
        <v>139</v>
      </c>
      <c r="K74" s="9">
        <v>992462801</v>
      </c>
      <c r="L74" s="11" t="s">
        <v>21</v>
      </c>
      <c r="M74" s="11" t="s">
        <v>21</v>
      </c>
      <c r="N74" s="9" t="s">
        <v>22</v>
      </c>
    </row>
    <row r="75" spans="1:14" ht="28.2" hidden="1" thickBot="1" x14ac:dyDescent="0.35">
      <c r="A75">
        <v>22</v>
      </c>
      <c r="B75" s="4">
        <v>45986.520624999997</v>
      </c>
      <c r="C75" s="5" t="s">
        <v>148</v>
      </c>
      <c r="D75" s="5">
        <v>1600759821</v>
      </c>
      <c r="E75" s="6">
        <v>32754</v>
      </c>
      <c r="F75" s="5" t="s">
        <v>16</v>
      </c>
      <c r="G75" s="5" t="s">
        <v>24</v>
      </c>
      <c r="H75" s="5" t="s">
        <v>18</v>
      </c>
      <c r="I75" s="5" t="s">
        <v>25</v>
      </c>
      <c r="J75" s="5" t="s">
        <v>149</v>
      </c>
      <c r="K75" s="5">
        <v>962041020</v>
      </c>
      <c r="L75" s="7" t="s">
        <v>21</v>
      </c>
      <c r="M75" s="7" t="s">
        <v>21</v>
      </c>
      <c r="N75" s="5" t="s">
        <v>22</v>
      </c>
    </row>
    <row r="76" spans="1:14" ht="28.2" hidden="1" thickBot="1" x14ac:dyDescent="0.35">
      <c r="A76">
        <v>23</v>
      </c>
      <c r="B76" s="8">
        <v>45986.564456018517</v>
      </c>
      <c r="C76" s="9" t="s">
        <v>150</v>
      </c>
      <c r="D76" s="9">
        <v>604439299</v>
      </c>
      <c r="E76" s="10">
        <v>33497</v>
      </c>
      <c r="F76" s="9" t="s">
        <v>16</v>
      </c>
      <c r="G76" s="9" t="s">
        <v>24</v>
      </c>
      <c r="H76" s="9" t="s">
        <v>18</v>
      </c>
      <c r="I76" s="9" t="s">
        <v>36</v>
      </c>
      <c r="J76" s="9" t="s">
        <v>151</v>
      </c>
      <c r="K76" s="9">
        <v>991448587</v>
      </c>
      <c r="L76" s="11" t="s">
        <v>21</v>
      </c>
      <c r="M76" s="11" t="s">
        <v>21</v>
      </c>
      <c r="N76" s="9" t="s">
        <v>22</v>
      </c>
    </row>
    <row r="77" spans="1:14" ht="42" thickBot="1" x14ac:dyDescent="0.35">
      <c r="B77" s="4">
        <v>45986.638680555552</v>
      </c>
      <c r="C77" s="5" t="s">
        <v>152</v>
      </c>
      <c r="D77" s="5">
        <v>1803012382</v>
      </c>
      <c r="E77" s="6">
        <v>41658</v>
      </c>
      <c r="F77" s="5" t="s">
        <v>16</v>
      </c>
      <c r="G77" s="5" t="s">
        <v>49</v>
      </c>
      <c r="H77" s="5" t="s">
        <v>50</v>
      </c>
      <c r="I77" s="5" t="s">
        <v>76</v>
      </c>
      <c r="J77" s="5" t="s">
        <v>153</v>
      </c>
      <c r="K77" s="5">
        <v>960639721</v>
      </c>
      <c r="L77" s="7" t="s">
        <v>21</v>
      </c>
      <c r="M77" s="7" t="s">
        <v>21</v>
      </c>
      <c r="N77" s="7" t="s">
        <v>21</v>
      </c>
    </row>
    <row r="78" spans="1:14" ht="42" hidden="1" thickBot="1" x14ac:dyDescent="0.35">
      <c r="A78">
        <v>45</v>
      </c>
      <c r="B78" s="8">
        <v>45986.670624999999</v>
      </c>
      <c r="C78" s="9" t="s">
        <v>154</v>
      </c>
      <c r="D78" s="9">
        <v>1600638793</v>
      </c>
      <c r="E78" s="10">
        <v>34787</v>
      </c>
      <c r="F78" s="9" t="s">
        <v>35</v>
      </c>
      <c r="G78" s="9" t="s">
        <v>17</v>
      </c>
      <c r="H78" s="9" t="s">
        <v>18</v>
      </c>
      <c r="I78" s="9" t="s">
        <v>19</v>
      </c>
      <c r="J78" s="9" t="s">
        <v>155</v>
      </c>
      <c r="K78" s="9">
        <v>998345965</v>
      </c>
      <c r="L78" s="11" t="s">
        <v>21</v>
      </c>
      <c r="M78" s="11" t="s">
        <v>21</v>
      </c>
      <c r="N78" s="9" t="s">
        <v>22</v>
      </c>
    </row>
    <row r="79" spans="1:14" ht="28.2" hidden="1" thickBot="1" x14ac:dyDescent="0.35">
      <c r="A79">
        <v>46</v>
      </c>
      <c r="B79" s="4">
        <v>45986.681550925925</v>
      </c>
      <c r="C79" s="5" t="s">
        <v>156</v>
      </c>
      <c r="D79" s="5">
        <v>1850035781</v>
      </c>
      <c r="E79" s="6">
        <v>36759</v>
      </c>
      <c r="F79" s="5" t="s">
        <v>16</v>
      </c>
      <c r="G79" s="5" t="s">
        <v>17</v>
      </c>
      <c r="H79" s="5" t="s">
        <v>18</v>
      </c>
      <c r="I79" s="5" t="s">
        <v>118</v>
      </c>
      <c r="J79" s="5" t="s">
        <v>157</v>
      </c>
      <c r="K79" s="5">
        <v>981629485</v>
      </c>
      <c r="L79" s="7" t="s">
        <v>21</v>
      </c>
      <c r="M79" s="7" t="s">
        <v>21</v>
      </c>
      <c r="N79" s="5" t="s">
        <v>22</v>
      </c>
    </row>
    <row r="80" spans="1:14" ht="28.2" hidden="1" thickBot="1" x14ac:dyDescent="0.35">
      <c r="A80">
        <v>47</v>
      </c>
      <c r="B80" s="8">
        <v>45986.683125000003</v>
      </c>
      <c r="C80" s="9" t="s">
        <v>158</v>
      </c>
      <c r="D80" s="9">
        <v>1803890936</v>
      </c>
      <c r="E80" s="10">
        <v>30696</v>
      </c>
      <c r="F80" s="9" t="s">
        <v>35</v>
      </c>
      <c r="G80" s="9" t="s">
        <v>17</v>
      </c>
      <c r="H80" s="9" t="s">
        <v>28</v>
      </c>
      <c r="I80" s="9" t="s">
        <v>19</v>
      </c>
      <c r="J80" s="9" t="s">
        <v>159</v>
      </c>
      <c r="K80" s="9">
        <v>998040356</v>
      </c>
      <c r="L80" s="11" t="s">
        <v>21</v>
      </c>
      <c r="M80" s="11" t="s">
        <v>21</v>
      </c>
      <c r="N80" s="9" t="s">
        <v>22</v>
      </c>
    </row>
    <row r="81" spans="1:14" ht="42" hidden="1" thickBot="1" x14ac:dyDescent="0.35">
      <c r="A81">
        <v>48</v>
      </c>
      <c r="B81" s="4">
        <v>45986.686030092591</v>
      </c>
      <c r="C81" s="5" t="s">
        <v>160</v>
      </c>
      <c r="D81" s="5">
        <v>1803694122</v>
      </c>
      <c r="E81" s="6">
        <v>30475</v>
      </c>
      <c r="F81" s="5" t="s">
        <v>35</v>
      </c>
      <c r="G81" s="5" t="s">
        <v>17</v>
      </c>
      <c r="H81" s="5" t="s">
        <v>28</v>
      </c>
      <c r="I81" s="5" t="s">
        <v>19</v>
      </c>
      <c r="J81" s="5" t="s">
        <v>161</v>
      </c>
      <c r="K81" s="5">
        <v>999865023</v>
      </c>
      <c r="L81" s="7" t="s">
        <v>21</v>
      </c>
      <c r="M81" s="7" t="s">
        <v>21</v>
      </c>
      <c r="N81" s="5" t="s">
        <v>22</v>
      </c>
    </row>
    <row r="82" spans="1:14" ht="28.2" hidden="1" thickBot="1" x14ac:dyDescent="0.35">
      <c r="A82">
        <v>49</v>
      </c>
      <c r="B82" s="8">
        <v>45986.687696759262</v>
      </c>
      <c r="C82" s="9" t="s">
        <v>162</v>
      </c>
      <c r="D82" s="9">
        <v>1803591005</v>
      </c>
      <c r="E82" s="10">
        <v>32968</v>
      </c>
      <c r="F82" s="9" t="s">
        <v>35</v>
      </c>
      <c r="G82" s="9" t="s">
        <v>17</v>
      </c>
      <c r="H82" s="9" t="s">
        <v>18</v>
      </c>
      <c r="I82" s="9" t="s">
        <v>19</v>
      </c>
      <c r="J82" s="9" t="s">
        <v>163</v>
      </c>
      <c r="K82" s="9">
        <v>984649533</v>
      </c>
      <c r="L82" s="11" t="s">
        <v>21</v>
      </c>
      <c r="M82" s="11" t="s">
        <v>21</v>
      </c>
      <c r="N82" s="9" t="s">
        <v>22</v>
      </c>
    </row>
    <row r="83" spans="1:14" ht="28.2" hidden="1" thickBot="1" x14ac:dyDescent="0.35">
      <c r="A83">
        <v>50</v>
      </c>
      <c r="B83" s="4">
        <v>45986.69253472222</v>
      </c>
      <c r="C83" s="5" t="s">
        <v>164</v>
      </c>
      <c r="D83" s="5">
        <v>1804663589</v>
      </c>
      <c r="E83" s="6">
        <v>34599</v>
      </c>
      <c r="F83" s="5" t="s">
        <v>35</v>
      </c>
      <c r="G83" s="5" t="s">
        <v>17</v>
      </c>
      <c r="H83" s="5" t="s">
        <v>18</v>
      </c>
      <c r="I83" s="5" t="s">
        <v>19</v>
      </c>
      <c r="J83" s="5" t="s">
        <v>165</v>
      </c>
      <c r="K83" s="5">
        <v>980160392</v>
      </c>
      <c r="L83" s="7" t="s">
        <v>21</v>
      </c>
      <c r="M83" s="7" t="s">
        <v>21</v>
      </c>
      <c r="N83" s="5" t="s">
        <v>22</v>
      </c>
    </row>
    <row r="84" spans="1:14" ht="42" hidden="1" thickBot="1" x14ac:dyDescent="0.35">
      <c r="A84">
        <v>51</v>
      </c>
      <c r="B84" s="8">
        <v>45986.709305555552</v>
      </c>
      <c r="C84" s="9" t="s">
        <v>166</v>
      </c>
      <c r="D84" s="9">
        <v>1802751626</v>
      </c>
      <c r="E84" s="10">
        <v>28339</v>
      </c>
      <c r="F84" s="9" t="s">
        <v>16</v>
      </c>
      <c r="G84" s="9" t="s">
        <v>17</v>
      </c>
      <c r="H84" s="9" t="s">
        <v>28</v>
      </c>
      <c r="I84" s="9" t="s">
        <v>19</v>
      </c>
      <c r="J84" s="9" t="s">
        <v>167</v>
      </c>
      <c r="K84" s="9">
        <v>939615617</v>
      </c>
      <c r="L84" s="11" t="s">
        <v>21</v>
      </c>
      <c r="M84" s="11" t="s">
        <v>21</v>
      </c>
      <c r="N84" s="9" t="s">
        <v>22</v>
      </c>
    </row>
    <row r="85" spans="1:14" ht="42" hidden="1" thickBot="1" x14ac:dyDescent="0.35">
      <c r="A85">
        <v>52</v>
      </c>
      <c r="B85" s="4">
        <v>45986.712638888886</v>
      </c>
      <c r="C85" s="5" t="s">
        <v>168</v>
      </c>
      <c r="D85" s="5">
        <v>1804752515</v>
      </c>
      <c r="E85" s="6">
        <v>32994</v>
      </c>
      <c r="F85" s="5" t="s">
        <v>16</v>
      </c>
      <c r="G85" s="5" t="s">
        <v>17</v>
      </c>
      <c r="H85" s="5" t="s">
        <v>18</v>
      </c>
      <c r="I85" s="5" t="s">
        <v>25</v>
      </c>
      <c r="J85" s="5" t="s">
        <v>169</v>
      </c>
      <c r="K85" s="5">
        <v>999258105</v>
      </c>
      <c r="L85" s="7" t="s">
        <v>21</v>
      </c>
      <c r="M85" s="7" t="s">
        <v>21</v>
      </c>
      <c r="N85" s="5" t="s">
        <v>22</v>
      </c>
    </row>
    <row r="86" spans="1:14" ht="42" hidden="1" thickBot="1" x14ac:dyDescent="0.35">
      <c r="A86">
        <v>53</v>
      </c>
      <c r="B86" s="8">
        <v>45986.715833333335</v>
      </c>
      <c r="C86" s="9" t="s">
        <v>170</v>
      </c>
      <c r="D86" s="9">
        <v>1803502499</v>
      </c>
      <c r="E86" s="10">
        <v>33423</v>
      </c>
      <c r="F86" s="9" t="s">
        <v>35</v>
      </c>
      <c r="G86" s="9" t="s">
        <v>17</v>
      </c>
      <c r="H86" s="9" t="s">
        <v>18</v>
      </c>
      <c r="I86" s="9" t="s">
        <v>19</v>
      </c>
      <c r="J86" s="9" t="s">
        <v>171</v>
      </c>
      <c r="K86" s="9">
        <v>983636413</v>
      </c>
      <c r="L86" s="11" t="s">
        <v>21</v>
      </c>
      <c r="M86" s="11" t="s">
        <v>21</v>
      </c>
      <c r="N86" s="9" t="s">
        <v>22</v>
      </c>
    </row>
    <row r="87" spans="1:14" ht="42" hidden="1" thickBot="1" x14ac:dyDescent="0.35">
      <c r="A87">
        <v>54</v>
      </c>
      <c r="B87" s="4">
        <v>45986.725821759261</v>
      </c>
      <c r="C87" s="5" t="s">
        <v>172</v>
      </c>
      <c r="D87" s="5">
        <v>1804104329</v>
      </c>
      <c r="E87" s="6">
        <v>34501</v>
      </c>
      <c r="F87" s="5" t="s">
        <v>35</v>
      </c>
      <c r="G87" s="5" t="s">
        <v>17</v>
      </c>
      <c r="H87" s="5" t="s">
        <v>18</v>
      </c>
      <c r="I87" s="5" t="s">
        <v>19</v>
      </c>
      <c r="J87" s="5" t="s">
        <v>173</v>
      </c>
      <c r="K87" s="5">
        <v>962132222</v>
      </c>
      <c r="L87" s="7" t="s">
        <v>21</v>
      </c>
      <c r="M87" s="7" t="s">
        <v>21</v>
      </c>
      <c r="N87" s="5" t="s">
        <v>22</v>
      </c>
    </row>
    <row r="88" spans="1:14" ht="28.2" hidden="1" thickBot="1" x14ac:dyDescent="0.35">
      <c r="A88">
        <v>24</v>
      </c>
      <c r="B88" s="8">
        <v>45986.773622685185</v>
      </c>
      <c r="C88" s="9" t="s">
        <v>174</v>
      </c>
      <c r="D88" s="9">
        <v>1600736100</v>
      </c>
      <c r="E88" s="10">
        <v>36923</v>
      </c>
      <c r="F88" s="9" t="s">
        <v>16</v>
      </c>
      <c r="G88" s="9" t="s">
        <v>24</v>
      </c>
      <c r="H88" s="9" t="s">
        <v>18</v>
      </c>
      <c r="I88" s="9" t="s">
        <v>36</v>
      </c>
      <c r="J88" s="9" t="s">
        <v>175</v>
      </c>
      <c r="K88" s="9">
        <v>992515264</v>
      </c>
      <c r="L88" s="11" t="s">
        <v>21</v>
      </c>
      <c r="M88" s="11" t="s">
        <v>21</v>
      </c>
      <c r="N88" s="9" t="s">
        <v>22</v>
      </c>
    </row>
    <row r="89" spans="1:14" ht="28.2" hidden="1" thickBot="1" x14ac:dyDescent="0.35">
      <c r="A89">
        <v>25</v>
      </c>
      <c r="B89" s="4">
        <v>45986.774328703701</v>
      </c>
      <c r="C89" s="5" t="s">
        <v>174</v>
      </c>
      <c r="D89" s="5">
        <v>1600736100</v>
      </c>
      <c r="E89" s="6">
        <v>36923</v>
      </c>
      <c r="F89" s="5" t="s">
        <v>16</v>
      </c>
      <c r="G89" s="5" t="s">
        <v>24</v>
      </c>
      <c r="H89" s="5" t="s">
        <v>18</v>
      </c>
      <c r="I89" s="5" t="s">
        <v>36</v>
      </c>
      <c r="J89" s="5" t="s">
        <v>175</v>
      </c>
      <c r="K89" s="5">
        <v>992515264</v>
      </c>
      <c r="L89" s="7" t="s">
        <v>21</v>
      </c>
      <c r="M89" s="7" t="s">
        <v>21</v>
      </c>
      <c r="N89" s="5" t="s">
        <v>22</v>
      </c>
    </row>
    <row r="90" spans="1:14" ht="42" hidden="1" thickBot="1" x14ac:dyDescent="0.35">
      <c r="A90">
        <v>55</v>
      </c>
      <c r="B90" s="8">
        <v>45986.777662037035</v>
      </c>
      <c r="C90" s="9" t="s">
        <v>176</v>
      </c>
      <c r="D90" s="9">
        <v>1850476514</v>
      </c>
      <c r="E90" s="10">
        <v>38634</v>
      </c>
      <c r="F90" s="9" t="s">
        <v>16</v>
      </c>
      <c r="G90" s="9" t="s">
        <v>17</v>
      </c>
      <c r="H90" s="9" t="s">
        <v>44</v>
      </c>
      <c r="I90" s="9" t="s">
        <v>19</v>
      </c>
      <c r="J90" s="9" t="s">
        <v>177</v>
      </c>
      <c r="K90" s="9">
        <v>979195494</v>
      </c>
      <c r="L90" s="11" t="s">
        <v>21</v>
      </c>
      <c r="M90" s="11" t="s">
        <v>21</v>
      </c>
      <c r="N90" s="9" t="s">
        <v>22</v>
      </c>
    </row>
    <row r="91" spans="1:14" ht="28.2" hidden="1" thickBot="1" x14ac:dyDescent="0.35">
      <c r="A91">
        <v>26</v>
      </c>
      <c r="B91" s="4">
        <v>45986.780324074076</v>
      </c>
      <c r="C91" s="5" t="s">
        <v>178</v>
      </c>
      <c r="D91" s="5">
        <v>2250093669</v>
      </c>
      <c r="E91" s="6">
        <v>34224</v>
      </c>
      <c r="F91" s="5" t="s">
        <v>16</v>
      </c>
      <c r="G91" s="5" t="s">
        <v>24</v>
      </c>
      <c r="H91" s="5" t="s">
        <v>18</v>
      </c>
      <c r="I91" s="5" t="s">
        <v>19</v>
      </c>
      <c r="J91" s="5" t="s">
        <v>179</v>
      </c>
      <c r="K91" s="5">
        <v>995577900</v>
      </c>
      <c r="L91" s="7" t="s">
        <v>21</v>
      </c>
      <c r="M91" s="7" t="s">
        <v>21</v>
      </c>
      <c r="N91" s="5" t="s">
        <v>22</v>
      </c>
    </row>
    <row r="92" spans="1:14" ht="42" hidden="1" thickBot="1" x14ac:dyDescent="0.35">
      <c r="A92">
        <v>56</v>
      </c>
      <c r="B92" s="8">
        <v>45986.787499999999</v>
      </c>
      <c r="C92" s="9" t="s">
        <v>180</v>
      </c>
      <c r="D92" s="9">
        <v>1805540331</v>
      </c>
      <c r="E92" s="10">
        <v>34520</v>
      </c>
      <c r="F92" s="9" t="s">
        <v>35</v>
      </c>
      <c r="G92" s="9" t="s">
        <v>17</v>
      </c>
      <c r="H92" s="9" t="s">
        <v>18</v>
      </c>
      <c r="I92" s="9" t="s">
        <v>19</v>
      </c>
      <c r="J92" s="9" t="s">
        <v>181</v>
      </c>
      <c r="K92" s="9">
        <v>979207874</v>
      </c>
      <c r="L92" s="11" t="s">
        <v>21</v>
      </c>
      <c r="M92" s="11" t="s">
        <v>21</v>
      </c>
      <c r="N92" s="9" t="s">
        <v>22</v>
      </c>
    </row>
    <row r="93" spans="1:14" ht="42" hidden="1" thickBot="1" x14ac:dyDescent="0.35">
      <c r="A93">
        <v>57</v>
      </c>
      <c r="B93" s="4">
        <v>45986.792974537035</v>
      </c>
      <c r="C93" s="5" t="s">
        <v>182</v>
      </c>
      <c r="D93" s="5">
        <v>1850621648</v>
      </c>
      <c r="E93" s="6">
        <v>37738</v>
      </c>
      <c r="F93" s="5" t="s">
        <v>35</v>
      </c>
      <c r="G93" s="5" t="s">
        <v>17</v>
      </c>
      <c r="H93" s="5" t="s">
        <v>18</v>
      </c>
      <c r="I93" s="5" t="s">
        <v>19</v>
      </c>
      <c r="J93" s="5" t="s">
        <v>183</v>
      </c>
      <c r="K93" s="5">
        <v>995770299</v>
      </c>
      <c r="L93" s="7" t="s">
        <v>21</v>
      </c>
      <c r="M93" s="7" t="s">
        <v>21</v>
      </c>
      <c r="N93" s="5" t="s">
        <v>22</v>
      </c>
    </row>
    <row r="94" spans="1:14" ht="28.2" hidden="1" thickBot="1" x14ac:dyDescent="0.35">
      <c r="A94">
        <v>27</v>
      </c>
      <c r="B94" s="8">
        <v>45986.803402777776</v>
      </c>
      <c r="C94" s="9" t="s">
        <v>184</v>
      </c>
      <c r="D94" s="9">
        <v>1501019440</v>
      </c>
      <c r="E94" s="10">
        <v>35735</v>
      </c>
      <c r="F94" s="9" t="s">
        <v>16</v>
      </c>
      <c r="G94" s="9" t="s">
        <v>24</v>
      </c>
      <c r="H94" s="9" t="s">
        <v>18</v>
      </c>
      <c r="I94" s="9" t="s">
        <v>36</v>
      </c>
      <c r="J94" s="9" t="s">
        <v>185</v>
      </c>
      <c r="K94" s="9">
        <v>987270950</v>
      </c>
      <c r="L94" s="11" t="s">
        <v>21</v>
      </c>
      <c r="M94" s="11" t="s">
        <v>21</v>
      </c>
      <c r="N94" s="9" t="s">
        <v>22</v>
      </c>
    </row>
    <row r="95" spans="1:14" ht="28.2" hidden="1" thickBot="1" x14ac:dyDescent="0.35">
      <c r="A95">
        <v>58</v>
      </c>
      <c r="B95" s="4">
        <v>45986.820208333331</v>
      </c>
      <c r="C95" s="5" t="s">
        <v>186</v>
      </c>
      <c r="D95" s="5">
        <v>1805184957</v>
      </c>
      <c r="E95" s="6">
        <v>34711</v>
      </c>
      <c r="F95" s="5" t="s">
        <v>16</v>
      </c>
      <c r="G95" s="5" t="s">
        <v>17</v>
      </c>
      <c r="H95" s="5" t="s">
        <v>18</v>
      </c>
      <c r="I95" s="5" t="s">
        <v>19</v>
      </c>
      <c r="J95" s="5" t="s">
        <v>187</v>
      </c>
      <c r="K95" s="5">
        <v>981007688</v>
      </c>
      <c r="L95" s="7" t="s">
        <v>21</v>
      </c>
      <c r="M95" s="7" t="s">
        <v>21</v>
      </c>
      <c r="N95" s="5" t="s">
        <v>22</v>
      </c>
    </row>
    <row r="96" spans="1:14" ht="28.2" hidden="1" thickBot="1" x14ac:dyDescent="0.35">
      <c r="A96">
        <v>28</v>
      </c>
      <c r="B96" s="8">
        <v>45986.847453703704</v>
      </c>
      <c r="C96" s="9" t="s">
        <v>188</v>
      </c>
      <c r="D96" s="9">
        <v>1715566434</v>
      </c>
      <c r="E96" s="10">
        <v>31429</v>
      </c>
      <c r="F96" s="9" t="s">
        <v>16</v>
      </c>
      <c r="G96" s="9" t="s">
        <v>24</v>
      </c>
      <c r="H96" s="9" t="s">
        <v>18</v>
      </c>
      <c r="I96" s="9" t="s">
        <v>19</v>
      </c>
      <c r="J96" s="9" t="s">
        <v>189</v>
      </c>
      <c r="K96" s="9">
        <v>960901980</v>
      </c>
      <c r="L96" s="11" t="s">
        <v>21</v>
      </c>
      <c r="M96" s="11" t="s">
        <v>21</v>
      </c>
      <c r="N96" s="9" t="s">
        <v>22</v>
      </c>
    </row>
    <row r="97" spans="1:14" ht="28.2" hidden="1" thickBot="1" x14ac:dyDescent="0.35">
      <c r="A97">
        <v>59</v>
      </c>
      <c r="B97" s="4">
        <v>45986.849340277775</v>
      </c>
      <c r="C97" s="5" t="s">
        <v>190</v>
      </c>
      <c r="D97" s="5">
        <v>604063297</v>
      </c>
      <c r="E97" s="6">
        <v>33688</v>
      </c>
      <c r="F97" s="5" t="s">
        <v>35</v>
      </c>
      <c r="G97" s="5" t="s">
        <v>17</v>
      </c>
      <c r="H97" s="5" t="s">
        <v>18</v>
      </c>
      <c r="I97" s="5" t="s">
        <v>36</v>
      </c>
      <c r="J97" s="5" t="s">
        <v>191</v>
      </c>
      <c r="K97" s="5">
        <v>995969166</v>
      </c>
      <c r="L97" s="7" t="s">
        <v>21</v>
      </c>
      <c r="M97" s="7" t="s">
        <v>21</v>
      </c>
      <c r="N97" s="5" t="s">
        <v>22</v>
      </c>
    </row>
    <row r="98" spans="1:14" ht="42" hidden="1" thickBot="1" x14ac:dyDescent="0.35">
      <c r="A98">
        <v>29</v>
      </c>
      <c r="B98" s="8">
        <v>45986.851006944446</v>
      </c>
      <c r="C98" s="9" t="s">
        <v>192</v>
      </c>
      <c r="D98" s="9">
        <v>603692328</v>
      </c>
      <c r="E98" s="10">
        <v>32716</v>
      </c>
      <c r="F98" s="9" t="s">
        <v>16</v>
      </c>
      <c r="G98" s="9" t="s">
        <v>24</v>
      </c>
      <c r="H98" s="9" t="s">
        <v>18</v>
      </c>
      <c r="I98" s="9" t="s">
        <v>36</v>
      </c>
      <c r="J98" s="9" t="s">
        <v>193</v>
      </c>
      <c r="K98" s="9">
        <v>981154882</v>
      </c>
      <c r="L98" s="11" t="s">
        <v>21</v>
      </c>
      <c r="M98" s="11" t="s">
        <v>21</v>
      </c>
      <c r="N98" s="9" t="s">
        <v>22</v>
      </c>
    </row>
    <row r="99" spans="1:14" ht="28.2" hidden="1" thickBot="1" x14ac:dyDescent="0.35">
      <c r="A99">
        <v>60</v>
      </c>
      <c r="B99" s="4">
        <v>45986.87709490741</v>
      </c>
      <c r="C99" s="5" t="s">
        <v>194</v>
      </c>
      <c r="D99" s="5">
        <v>1600504235</v>
      </c>
      <c r="E99" s="6">
        <v>34488</v>
      </c>
      <c r="F99" s="5" t="s">
        <v>35</v>
      </c>
      <c r="G99" s="5" t="s">
        <v>17</v>
      </c>
      <c r="H99" s="5" t="s">
        <v>18</v>
      </c>
      <c r="I99" s="5" t="s">
        <v>36</v>
      </c>
      <c r="J99" s="5" t="s">
        <v>195</v>
      </c>
      <c r="K99" s="5">
        <v>995795941</v>
      </c>
      <c r="L99" s="7" t="s">
        <v>21</v>
      </c>
      <c r="M99" s="7" t="s">
        <v>21</v>
      </c>
      <c r="N99" s="5" t="s">
        <v>22</v>
      </c>
    </row>
    <row r="100" spans="1:14" ht="42" hidden="1" thickBot="1" x14ac:dyDescent="0.35">
      <c r="A100">
        <v>30</v>
      </c>
      <c r="B100" s="8">
        <v>45986.9455787037</v>
      </c>
      <c r="C100" s="9" t="s">
        <v>196</v>
      </c>
      <c r="D100" s="9">
        <v>202223012</v>
      </c>
      <c r="E100" s="10">
        <v>37221</v>
      </c>
      <c r="F100" s="9" t="s">
        <v>16</v>
      </c>
      <c r="G100" s="9" t="s">
        <v>24</v>
      </c>
      <c r="H100" s="9" t="s">
        <v>18</v>
      </c>
      <c r="I100" s="9" t="s">
        <v>19</v>
      </c>
      <c r="J100" s="9" t="s">
        <v>197</v>
      </c>
      <c r="K100" s="9">
        <v>992797068</v>
      </c>
      <c r="L100" s="11" t="s">
        <v>21</v>
      </c>
      <c r="M100" s="11" t="s">
        <v>21</v>
      </c>
      <c r="N100" s="9" t="s">
        <v>22</v>
      </c>
    </row>
    <row r="101" spans="1:14" ht="28.2" hidden="1" thickBot="1" x14ac:dyDescent="0.35">
      <c r="A101">
        <v>61</v>
      </c>
      <c r="B101" s="4">
        <v>45986.955347222225</v>
      </c>
      <c r="C101" s="5" t="s">
        <v>198</v>
      </c>
      <c r="D101" s="5">
        <v>1719938423</v>
      </c>
      <c r="E101" s="6">
        <v>33113</v>
      </c>
      <c r="F101" s="5" t="s">
        <v>16</v>
      </c>
      <c r="G101" s="5" t="s">
        <v>17</v>
      </c>
      <c r="H101" s="5" t="s">
        <v>18</v>
      </c>
      <c r="I101" s="5" t="s">
        <v>25</v>
      </c>
      <c r="J101" s="5" t="s">
        <v>199</v>
      </c>
      <c r="K101" s="5">
        <v>996421611</v>
      </c>
      <c r="L101" s="7" t="s">
        <v>21</v>
      </c>
      <c r="M101" s="7" t="s">
        <v>21</v>
      </c>
      <c r="N101" s="5" t="s">
        <v>22</v>
      </c>
    </row>
    <row r="102" spans="1:14" ht="28.2" hidden="1" thickBot="1" x14ac:dyDescent="0.35">
      <c r="A102">
        <v>62</v>
      </c>
      <c r="B102" s="8">
        <v>45986.9609375</v>
      </c>
      <c r="C102" s="9" t="s">
        <v>200</v>
      </c>
      <c r="D102" s="9">
        <v>1751466978</v>
      </c>
      <c r="E102" s="10">
        <v>34406</v>
      </c>
      <c r="F102" s="9" t="s">
        <v>35</v>
      </c>
      <c r="G102" s="9" t="s">
        <v>17</v>
      </c>
      <c r="H102" s="9"/>
      <c r="I102" s="9" t="s">
        <v>36</v>
      </c>
      <c r="J102" s="9" t="s">
        <v>201</v>
      </c>
      <c r="K102" s="9">
        <v>998321362</v>
      </c>
      <c r="L102" s="11" t="s">
        <v>21</v>
      </c>
      <c r="M102" s="11" t="s">
        <v>21</v>
      </c>
      <c r="N102" s="9" t="s">
        <v>22</v>
      </c>
    </row>
    <row r="103" spans="1:14" ht="42" hidden="1" thickBot="1" x14ac:dyDescent="0.35">
      <c r="A103">
        <v>63</v>
      </c>
      <c r="B103" s="4">
        <v>45987.011122685188</v>
      </c>
      <c r="C103" s="5" t="s">
        <v>202</v>
      </c>
      <c r="D103" s="5">
        <v>603466541</v>
      </c>
      <c r="E103" s="6">
        <v>31208</v>
      </c>
      <c r="F103" s="5" t="s">
        <v>16</v>
      </c>
      <c r="G103" s="5" t="s">
        <v>17</v>
      </c>
      <c r="H103" s="5" t="s">
        <v>18</v>
      </c>
      <c r="I103" s="5" t="s">
        <v>19</v>
      </c>
      <c r="J103" s="5" t="s">
        <v>203</v>
      </c>
      <c r="K103" s="5">
        <v>990552078</v>
      </c>
      <c r="L103" s="7" t="s">
        <v>21</v>
      </c>
      <c r="M103" s="7" t="s">
        <v>21</v>
      </c>
      <c r="N103" s="5" t="s">
        <v>22</v>
      </c>
    </row>
    <row r="104" spans="1:14" ht="42" hidden="1" thickBot="1" x14ac:dyDescent="0.35">
      <c r="A104">
        <v>64</v>
      </c>
      <c r="B104" s="8">
        <v>45987.011145833334</v>
      </c>
      <c r="C104" s="9" t="s">
        <v>202</v>
      </c>
      <c r="D104" s="9">
        <v>603466541</v>
      </c>
      <c r="E104" s="10">
        <v>31208</v>
      </c>
      <c r="F104" s="9" t="s">
        <v>16</v>
      </c>
      <c r="G104" s="9" t="s">
        <v>17</v>
      </c>
      <c r="H104" s="9" t="s">
        <v>18</v>
      </c>
      <c r="I104" s="9" t="s">
        <v>19</v>
      </c>
      <c r="J104" s="9" t="s">
        <v>203</v>
      </c>
      <c r="K104" s="9">
        <v>990552078</v>
      </c>
      <c r="L104" s="11" t="s">
        <v>21</v>
      </c>
      <c r="M104" s="11" t="s">
        <v>21</v>
      </c>
      <c r="N104" s="9" t="s">
        <v>22</v>
      </c>
    </row>
    <row r="105" spans="1:14" ht="42" hidden="1" thickBot="1" x14ac:dyDescent="0.35">
      <c r="A105">
        <v>65</v>
      </c>
      <c r="B105" s="4">
        <v>45987.01116898148</v>
      </c>
      <c r="C105" s="5" t="s">
        <v>202</v>
      </c>
      <c r="D105" s="5">
        <v>603466541</v>
      </c>
      <c r="E105" s="6">
        <v>31208</v>
      </c>
      <c r="F105" s="5" t="s">
        <v>16</v>
      </c>
      <c r="G105" s="5" t="s">
        <v>17</v>
      </c>
      <c r="H105" s="5" t="s">
        <v>18</v>
      </c>
      <c r="I105" s="5" t="s">
        <v>19</v>
      </c>
      <c r="J105" s="5" t="s">
        <v>203</v>
      </c>
      <c r="K105" s="5">
        <v>990552078</v>
      </c>
      <c r="L105" s="7" t="s">
        <v>21</v>
      </c>
      <c r="M105" s="7" t="s">
        <v>21</v>
      </c>
      <c r="N105" s="5" t="s">
        <v>22</v>
      </c>
    </row>
    <row r="106" spans="1:14" ht="42" hidden="1" thickBot="1" x14ac:dyDescent="0.35">
      <c r="A106">
        <v>31</v>
      </c>
      <c r="B106" s="8">
        <v>45987.012141203704</v>
      </c>
      <c r="C106" s="9" t="s">
        <v>204</v>
      </c>
      <c r="D106" s="9">
        <v>603466541</v>
      </c>
      <c r="E106" s="10">
        <v>31208</v>
      </c>
      <c r="F106" s="9" t="s">
        <v>16</v>
      </c>
      <c r="G106" s="9" t="s">
        <v>24</v>
      </c>
      <c r="H106" s="9" t="s">
        <v>18</v>
      </c>
      <c r="I106" s="9" t="s">
        <v>19</v>
      </c>
      <c r="J106" s="9" t="s">
        <v>203</v>
      </c>
      <c r="K106" s="9">
        <v>990552078</v>
      </c>
      <c r="L106" s="11" t="s">
        <v>21</v>
      </c>
      <c r="M106" s="11" t="s">
        <v>21</v>
      </c>
      <c r="N106" s="9" t="s">
        <v>22</v>
      </c>
    </row>
    <row r="107" spans="1:14" ht="42" hidden="1" thickBot="1" x14ac:dyDescent="0.35">
      <c r="A107">
        <v>32</v>
      </c>
      <c r="B107" s="4">
        <v>45987.012233796297</v>
      </c>
      <c r="C107" s="5" t="s">
        <v>204</v>
      </c>
      <c r="D107" s="5">
        <v>603466541</v>
      </c>
      <c r="E107" s="6">
        <v>31208</v>
      </c>
      <c r="F107" s="5" t="s">
        <v>16</v>
      </c>
      <c r="G107" s="5" t="s">
        <v>24</v>
      </c>
      <c r="H107" s="5" t="s">
        <v>18</v>
      </c>
      <c r="I107" s="5" t="s">
        <v>19</v>
      </c>
      <c r="J107" s="5" t="s">
        <v>203</v>
      </c>
      <c r="K107" s="5">
        <v>990552078</v>
      </c>
      <c r="L107" s="7" t="s">
        <v>21</v>
      </c>
      <c r="M107" s="7" t="s">
        <v>21</v>
      </c>
      <c r="N107" s="5" t="s">
        <v>22</v>
      </c>
    </row>
    <row r="108" spans="1:14" ht="28.2" hidden="1" thickBot="1" x14ac:dyDescent="0.35">
      <c r="A108">
        <v>33</v>
      </c>
      <c r="B108" s="8">
        <v>45987.020497685182</v>
      </c>
      <c r="C108" s="9" t="s">
        <v>205</v>
      </c>
      <c r="D108" s="9">
        <v>603575572</v>
      </c>
      <c r="E108" s="10">
        <v>33598</v>
      </c>
      <c r="F108" s="9" t="s">
        <v>35</v>
      </c>
      <c r="G108" s="9" t="s">
        <v>24</v>
      </c>
      <c r="H108" s="9" t="s">
        <v>18</v>
      </c>
      <c r="I108" s="9" t="s">
        <v>76</v>
      </c>
      <c r="J108" s="9" t="s">
        <v>206</v>
      </c>
      <c r="K108" s="9">
        <v>985327865</v>
      </c>
      <c r="L108" s="11" t="s">
        <v>21</v>
      </c>
      <c r="M108" s="11" t="s">
        <v>21</v>
      </c>
      <c r="N108" s="9" t="s">
        <v>22</v>
      </c>
    </row>
    <row r="109" spans="1:14" ht="28.2" hidden="1" thickBot="1" x14ac:dyDescent="0.35">
      <c r="A109">
        <v>34</v>
      </c>
      <c r="B109" s="4">
        <v>45987.020520833335</v>
      </c>
      <c r="C109" s="5" t="s">
        <v>205</v>
      </c>
      <c r="D109" s="5">
        <v>603575572</v>
      </c>
      <c r="E109" s="6">
        <v>33598</v>
      </c>
      <c r="F109" s="5" t="s">
        <v>35</v>
      </c>
      <c r="G109" s="5" t="s">
        <v>24</v>
      </c>
      <c r="H109" s="5" t="s">
        <v>18</v>
      </c>
      <c r="I109" s="5" t="s">
        <v>76</v>
      </c>
      <c r="J109" s="5" t="s">
        <v>206</v>
      </c>
      <c r="K109" s="5">
        <v>985327865</v>
      </c>
      <c r="L109" s="7" t="s">
        <v>21</v>
      </c>
      <c r="M109" s="7" t="s">
        <v>21</v>
      </c>
      <c r="N109" s="5" t="s">
        <v>22</v>
      </c>
    </row>
    <row r="110" spans="1:14" ht="42" hidden="1" thickBot="1" x14ac:dyDescent="0.35">
      <c r="A110">
        <v>66</v>
      </c>
      <c r="B110" s="8">
        <v>45987.374050925922</v>
      </c>
      <c r="C110" s="9" t="s">
        <v>207</v>
      </c>
      <c r="D110" s="9">
        <v>1850218973</v>
      </c>
      <c r="E110" s="10">
        <v>40321</v>
      </c>
      <c r="F110" s="9" t="s">
        <v>35</v>
      </c>
      <c r="G110" s="9" t="s">
        <v>17</v>
      </c>
      <c r="H110" s="9" t="s">
        <v>44</v>
      </c>
      <c r="I110" s="9" t="s">
        <v>36</v>
      </c>
      <c r="J110" s="9" t="s">
        <v>173</v>
      </c>
      <c r="K110" s="9">
        <v>969030639</v>
      </c>
      <c r="L110" s="11" t="s">
        <v>21</v>
      </c>
      <c r="M110" s="11" t="s">
        <v>21</v>
      </c>
      <c r="N110" s="11" t="s">
        <v>21</v>
      </c>
    </row>
    <row r="111" spans="1:14" ht="42" hidden="1" thickBot="1" x14ac:dyDescent="0.35">
      <c r="A111">
        <v>67</v>
      </c>
      <c r="B111" s="4">
        <v>45987.376712962963</v>
      </c>
      <c r="C111" s="5" t="s">
        <v>207</v>
      </c>
      <c r="D111" s="5">
        <v>1850218973</v>
      </c>
      <c r="E111" s="6">
        <v>40321</v>
      </c>
      <c r="F111" s="5" t="s">
        <v>35</v>
      </c>
      <c r="G111" s="5" t="s">
        <v>17</v>
      </c>
      <c r="H111" s="5" t="s">
        <v>44</v>
      </c>
      <c r="I111" s="5" t="s">
        <v>36</v>
      </c>
      <c r="J111" s="5" t="s">
        <v>173</v>
      </c>
      <c r="K111" s="5">
        <v>96903063</v>
      </c>
    </row>
  </sheetData>
  <autoFilter ref="G6:I111" xr:uid="{E8CCF372-C8BB-40A0-AB46-1DAED80F163A}">
    <filterColumn colId="0">
      <filters>
        <filter val="2K"/>
      </filters>
    </filterColumn>
  </autoFilter>
  <hyperlinks>
    <hyperlink ref="L7" r:id="rId1" display="https://www.r2timing.com/uploads/rioverde_2025/1600746596_deslinde_1761533215.pdf" xr:uid="{6C9EB528-EF6F-4087-80F0-4CDE1166C501}"/>
    <hyperlink ref="M7" r:id="rId2" display="https://www.r2timing.com/uploads/rioverde_2025/1600746596_comprobante_1761533215.png" xr:uid="{37A60E82-94DD-4528-A461-0A4A3ADB6D59}"/>
    <hyperlink ref="L8" r:id="rId3" display="https://www.r2timing.com/uploads/rioverde_2025/0504150319_deslinde_1761766721.pdf" xr:uid="{7C280137-D1AC-4CEE-8FC2-97AF70FEE395}"/>
    <hyperlink ref="M8" r:id="rId4" display="https://www.r2timing.com/uploads/rioverde_2025/0504150319_comprobante_1761766721.jpg" xr:uid="{825D6A85-3677-432F-8923-3F05900BE227}"/>
    <hyperlink ref="L9" r:id="rId5" display="https://www.r2timing.com/uploads/rioverde_2025/0601379076_deslinde_1762052383.jpg" xr:uid="{F4E28ED5-BD04-4A8B-BDD0-514376D1D427}"/>
    <hyperlink ref="M9" r:id="rId6" display="https://www.r2timing.com/uploads/rioverde_2025/0601379076_comprobante_1762052383.jpg" xr:uid="{BF28F02F-7F9B-4037-9F8A-4E1ABF865069}"/>
    <hyperlink ref="L10" r:id="rId7" display="https://www.r2timing.com/uploads/rioverde_2025/1500858988_deslinde_1762357345.pdf" xr:uid="{CC01EE79-64AD-4B79-9449-0EE4A940E228}"/>
    <hyperlink ref="M10" r:id="rId8" display="https://www.r2timing.com/uploads/rioverde_2025/1500858988_comprobante_1762357345.jpg" xr:uid="{7DFACDFF-534F-4363-B08E-B25939E0C463}"/>
    <hyperlink ref="L11" r:id="rId9" display="https://www.r2timing.com/uploads/rioverde_2025/1804087391_deslinde_1762485541.jpg" xr:uid="{96844D76-037D-489D-8D09-5F47F12BF0B5}"/>
    <hyperlink ref="M11" r:id="rId10" display="https://www.r2timing.com/uploads/rioverde_2025/1804087391_comprobante_1762485541.jpg" xr:uid="{CF41C8B7-162E-457C-BDE0-5880BBB65B14}"/>
    <hyperlink ref="L12" r:id="rId11" display="https://www.r2timing.com/uploads/rioverde_2025/1804087391_deslinde_1762485544.jpg" xr:uid="{ADB1B4E0-48D5-4572-8AF5-2383B87D5C76}"/>
    <hyperlink ref="M12" r:id="rId12" display="https://www.r2timing.com/uploads/rioverde_2025/1804087391_comprobante_1762485544.jpg" xr:uid="{71241384-8DBF-411D-9054-DDAE0F57F3A8}"/>
    <hyperlink ref="L13" r:id="rId13" display="https://www.r2timing.com/uploads/rioverde_2025/1803640430_deslinde_1762485728.jpg" xr:uid="{61B7B5A4-0B0E-4A66-A51F-BEE6FB940E22}"/>
    <hyperlink ref="M13" r:id="rId14" display="https://www.r2timing.com/uploads/rioverde_2025/1803640430_comprobante_1762485728.jpg" xr:uid="{02DC6C63-2021-4836-873D-DBED00D8B99B}"/>
    <hyperlink ref="L14" r:id="rId15" display="https://www.r2timing.com/uploads/rioverde_2025/1002829727_deslinde_1762547443.jpg" xr:uid="{B6AA8AC8-9445-414D-84FA-AD99834B784D}"/>
    <hyperlink ref="M14" r:id="rId16" display="https://www.r2timing.com/uploads/rioverde_2025/1002829727_comprobante_1762547443.png" xr:uid="{CC6DA72C-3F97-4D61-BCF5-364F49CC58DB}"/>
    <hyperlink ref="L15" r:id="rId17" display="https://www.r2timing.com/uploads/rioverde_2025/0912899390_deslinde_1762645802.pdf" xr:uid="{2E89BA5F-0014-4FE3-9DC0-5F109D1286C8}"/>
    <hyperlink ref="M15" r:id="rId18" display="https://www.r2timing.com/uploads/rioverde_2025/0912899390_comprobante_1762645802.jpeg" xr:uid="{E068811E-5BC1-428D-942C-15E707FF906D}"/>
    <hyperlink ref="L16" r:id="rId19" display="https://www.r2timing.com/uploads/rioverde_2025/1805725536_deslinde_1762829429.jpg" xr:uid="{8041EF4D-BC95-4439-8E96-C0DFE28D1B9F}"/>
    <hyperlink ref="M16" r:id="rId20" display="https://www.r2timing.com/uploads/rioverde_2025/1805725536_comprobante_1762829429.jpg" xr:uid="{4D4C231F-8D04-408D-8CB3-E1123F49FBEE}"/>
    <hyperlink ref="N16" r:id="rId21" display="https://www.r2timing.com/uploads/rioverde_2025/1805725536_autorizacion_1762829429.jpg" xr:uid="{050A347F-F474-4635-BC74-79ED7DC3E4B2}"/>
    <hyperlink ref="L17" r:id="rId22" display="https://www.r2timing.com/uploads/rioverde_2025/0259330198_deslinde_1762916434.pdf" xr:uid="{1F841CA6-650E-4CF9-B386-13372A5779B8}"/>
    <hyperlink ref="M17" r:id="rId23" display="https://www.r2timing.com/uploads/rioverde_2025/0259330198_comprobante_1762916434.jpg" xr:uid="{DE59EB5E-2EFD-4CE4-AC07-E6C288D2E535}"/>
    <hyperlink ref="L18" r:id="rId24" display="https://www.r2timing.com/uploads/rioverde_2025/0259330198_deslinde_1762972518.pdf" xr:uid="{DDED00D0-65C0-47FB-AD0A-8BEA0C4A4187}"/>
    <hyperlink ref="M18" r:id="rId25" display="https://www.r2timing.com/uploads/rioverde_2025/0259330198_comprobante_1762972518.jpg" xr:uid="{43C6AEB8-6764-430A-AF78-6EC35D0B4773}"/>
    <hyperlink ref="L19" r:id="rId26" display="https://www.r2timing.com/uploads/rioverde_2025/0250330149_deslinde_1762997649.pdf" xr:uid="{3B569947-2678-4D41-95A3-2533525C44A6}"/>
    <hyperlink ref="M19" r:id="rId27" display="https://www.r2timing.com/uploads/rioverde_2025/0250330149_comprobante_1762997649.jpg" xr:uid="{C8AD5B6A-96AD-4BD9-95F8-F1FE34AA32A7}"/>
    <hyperlink ref="N19" r:id="rId28" display="https://www.r2timing.com/uploads/rioverde_2025/0250330149_autorizacion_1762997649.pdf" xr:uid="{7F8CC664-09D4-4A82-8B7E-C4C4CF47148D}"/>
    <hyperlink ref="L20" r:id="rId29" display="https://www.r2timing.com/uploads/rioverde_2025/1850976281_deslinde_1763095070.pdf" xr:uid="{75901231-967E-4B87-8674-99342B51D890}"/>
    <hyperlink ref="M20" r:id="rId30" display="https://www.r2timing.com/uploads/rioverde_2025/1850976281_comprobante_1763095070.png" xr:uid="{045BC0D6-8492-4FB4-BC21-DC5FA7624851}"/>
    <hyperlink ref="L21" r:id="rId31" display="https://www.r2timing.com/uploads/rioverde_2025/1850976281_deslinde_1763095072.pdf" xr:uid="{CA6554A8-0D62-4691-BB1C-0AC778EC9BC1}"/>
    <hyperlink ref="M21" r:id="rId32" display="https://www.r2timing.com/uploads/rioverde_2025/1850976281_comprobante_1763095072.png" xr:uid="{813DF552-0E31-419D-A891-6AD85F018483}"/>
    <hyperlink ref="L22" r:id="rId33" display="https://www.r2timing.com/uploads/rioverde_2025/0604066852_deslinde_1763126953.jpg" xr:uid="{23097C3B-972D-4023-9BD0-ECB2E3F580A2}"/>
    <hyperlink ref="M22" r:id="rId34" display="https://www.r2timing.com/uploads/rioverde_2025/0604066852_comprobante_1763126953.png" xr:uid="{82701098-5046-4F7F-A5DB-B25DFEB3F673}"/>
    <hyperlink ref="L23" r:id="rId35" display="https://www.r2timing.com/uploads/rioverde_2025/1805137138_deslinde_1763144460.jpeg" xr:uid="{91A426A4-CCF9-4A4A-92E8-4339132DD98E}"/>
    <hyperlink ref="M23" r:id="rId36" display="https://www.r2timing.com/uploads/rioverde_2025/1805137138_comprobante_1763144460.jpeg" xr:uid="{C2616792-732A-4B18-85C3-D78A604D5F93}"/>
    <hyperlink ref="L24" r:id="rId37" display="https://www.r2timing.com/uploads/rioverde_2025/1722361308_deslinde_1763151325.png" xr:uid="{CFD63BD8-BFC2-4C7D-9172-38976AA81B04}"/>
    <hyperlink ref="M24" r:id="rId38" display="https://www.r2timing.com/uploads/rioverde_2025/1722361308_comprobante_1763151325.png" xr:uid="{4B5E8AB3-3AF1-4945-80CC-CF0903E5323B}"/>
    <hyperlink ref="L25" r:id="rId39" display="https://www.r2timing.com/uploads/rioverde_2025/1802308310_deslinde_1763151417.png" xr:uid="{4CF6891D-A0FD-4F3A-AC6A-6D59C7F91FC3}"/>
    <hyperlink ref="M25" r:id="rId40" display="https://www.r2timing.com/uploads/rioverde_2025/1802308310_comprobante_1763151417.png" xr:uid="{30FDF4B2-A2E5-4059-8D93-B569BE952E01}"/>
    <hyperlink ref="L26" r:id="rId41" display="https://www.r2timing.com/uploads/rioverde_2025/1804687752_deslinde_1763171113.pdf" xr:uid="{B0F30177-2F09-4D50-8AE2-CB0ED1BEA2BD}"/>
    <hyperlink ref="M26" r:id="rId42" display="https://www.r2timing.com/uploads/rioverde_2025/1804687752_comprobante_1763171113.jpeg" xr:uid="{9B07FA64-04ED-4FD7-AB66-B304250BC2F5}"/>
    <hyperlink ref="L27" r:id="rId43" display="https://www.r2timing.com/uploads/rioverde_2025/1805291448_deslinde_1763316642.pdf" xr:uid="{150B5BFB-800C-4D49-B225-7B297380E369}"/>
    <hyperlink ref="M27" r:id="rId44" display="https://www.r2timing.com/uploads/rioverde_2025/1805291448_comprobante_1763316642.jpeg" xr:uid="{660DB04C-296A-43BA-BD98-63A3DB96ACBA}"/>
    <hyperlink ref="L28" r:id="rId45" display="https://www.r2timing.com/uploads/rioverde_2025/1600176919_deslinde_1763347216.jpeg" xr:uid="{C8A05562-D9AA-4DB8-B8D4-B4412B18F9D3}"/>
    <hyperlink ref="M28" r:id="rId46" display="https://www.r2timing.com/uploads/rioverde_2025/1600176919_comprobante_1763347216.png" xr:uid="{6DC78295-57F1-49DB-96AD-6F5E73369CBE}"/>
    <hyperlink ref="L29" r:id="rId47" display="https://www.r2timing.com/uploads/rioverde_2025/0550610935_deslinde_1763427979.pdf" xr:uid="{F6E1EF01-47F3-4183-933C-539FB933C7AC}"/>
    <hyperlink ref="M29" r:id="rId48" display="https://www.r2timing.com/uploads/rioverde_2025/0550610935_comprobante_1763427979.jpeg" xr:uid="{10DF4C09-F94C-4A83-82E1-7E87589C3CA9}"/>
    <hyperlink ref="L30" r:id="rId49" display="https://www.r2timing.com/uploads/rioverde_2025/1805417399_deslinde_1763482178.jpeg" xr:uid="{B137D61D-40B9-4488-BA16-3EB069ABFE08}"/>
    <hyperlink ref="M30" r:id="rId50" display="https://www.r2timing.com/uploads/rioverde_2025/1805417399_comprobante_1763482178.jpeg" xr:uid="{A912DCDC-04C9-498F-A93F-7B00D2CC96BE}"/>
    <hyperlink ref="L31" r:id="rId51" display="https://www.r2timing.com/uploads/rioverde_2025/1718625377_deslinde_1763577167.pdf" xr:uid="{D85A5036-9D3A-4E28-934E-11C8E9D15DAD}"/>
    <hyperlink ref="M31" r:id="rId52" display="https://www.r2timing.com/uploads/rioverde_2025/1718625377_comprobante_1763577167.jpg" xr:uid="{77E70937-E0B8-41BA-B3E2-259AB121FE74}"/>
    <hyperlink ref="L32" r:id="rId53" display="https://www.r2timing.com/uploads/rioverde_2025/1803991858_deslinde_1763580354.jpeg" xr:uid="{B067A202-89C1-4A13-9D61-CCCCD39B11F6}"/>
    <hyperlink ref="M32" r:id="rId54" display="https://www.r2timing.com/uploads/rioverde_2025/1803991858_comprobante_1763580354.jpeg" xr:uid="{8A9D5D6D-FF85-41EE-AFBD-116F6186999A}"/>
    <hyperlink ref="L33" r:id="rId55" display="https://www.r2timing.com/uploads/rioverde_2025/1804263695_deslinde_1763589906.pdf" xr:uid="{A0B6B6F4-FF1A-4577-8496-F01F4EF30007}"/>
    <hyperlink ref="M33" r:id="rId56" display="https://www.r2timing.com/uploads/rioverde_2025/1804263695_comprobante_1763589906.jpg" xr:uid="{6C254B44-7202-4EF5-8859-9B7F91790252}"/>
    <hyperlink ref="L34" r:id="rId57" display="https://www.r2timing.com/uploads/rioverde_2025/1804263695_deslinde_1763589907.pdf" xr:uid="{4D89041C-7E29-4CA8-BE24-D2BB548DE992}"/>
    <hyperlink ref="M34" r:id="rId58" display="https://www.r2timing.com/uploads/rioverde_2025/1804263695_comprobante_1763589907.jpg" xr:uid="{AEE10471-213A-4670-B6C8-00AC3FDD69E5}"/>
    <hyperlink ref="L35" r:id="rId59" display="https://www.r2timing.com/uploads/rioverde_2025/1804711115_deslinde_1763608580.pdf" xr:uid="{964BA3F4-F424-4B28-B1E1-3CB871785A90}"/>
    <hyperlink ref="M35" r:id="rId60" display="https://www.r2timing.com/uploads/rioverde_2025/1804711115_comprobante_1763608580.jpeg" xr:uid="{ACCCA768-D67D-4FD8-8524-B2CF7D1EFACD}"/>
    <hyperlink ref="L36" r:id="rId61" display="https://www.r2timing.com/uploads/rioverde_2025/1850690940_deslinde_1763644943.jpg" xr:uid="{73FF2E7C-B30A-4080-B874-3C90DCE069C2}"/>
    <hyperlink ref="M36" r:id="rId62" display="https://www.r2timing.com/uploads/rioverde_2025/1850690940_comprobante_1763644943.jpg" xr:uid="{5B5C7435-68C7-4AD5-B19B-27044E0D2DFD}"/>
    <hyperlink ref="N36" r:id="rId63" display="https://www.r2timing.com/uploads/rioverde_2025/1850690940_autorizacion_1763644943.jpg" xr:uid="{1BD59107-AE2E-44E7-8C79-B581B8038EBA}"/>
    <hyperlink ref="L37" r:id="rId64" display="https://www.r2timing.com/uploads/rioverde_2025/1650049206_deslinde_1763645662.jpg" xr:uid="{4E1E203E-6EA5-436E-AB0B-4B374E9505E7}"/>
    <hyperlink ref="M37" r:id="rId65" display="https://www.r2timing.com/uploads/rioverde_2025/1650049206_comprobante_1763645662.jpg" xr:uid="{C804B038-EFDF-405A-B087-AF46C61EC94F}"/>
    <hyperlink ref="N37" r:id="rId66" display="https://www.r2timing.com/uploads/rioverde_2025/1650049206_autorizacion_1763645662.jpg" xr:uid="{BB3F51B0-4A71-44D4-A068-5F12354ADD87}"/>
    <hyperlink ref="L38" r:id="rId67" display="https://www.r2timing.com/uploads/rioverde_2025/1804299814_deslinde_1763662482.jpg" xr:uid="{CA9598EA-5C2B-42C0-8644-162E44545221}"/>
    <hyperlink ref="M38" r:id="rId68" display="https://www.r2timing.com/uploads/rioverde_2025/1804299814_comprobante_1763662482.png" xr:uid="{0292627B-4EE0-494C-AC1B-C7B366A16B65}"/>
    <hyperlink ref="N38" r:id="rId69" display="https://www.r2timing.com/uploads/rioverde_2025/1804299814_autorizacion_1763662482.jpg" xr:uid="{F0EB9D4C-056F-4373-91E9-5521F043FCA7}"/>
    <hyperlink ref="L39" r:id="rId70" display="https://www.r2timing.com/uploads/rioverde_2025/1718625377_deslinde_1763668872.pdf" xr:uid="{79CC619B-5FC9-4AF4-927E-63EB346D8156}"/>
    <hyperlink ref="M39" r:id="rId71" display="https://www.r2timing.com/uploads/rioverde_2025/1718625377_comprobante_1763668872.jpg" xr:uid="{D5EBC231-A193-4596-A3E4-0211C4838411}"/>
    <hyperlink ref="L40" r:id="rId72" display="https://www.r2timing.com/uploads/rioverde_2025/1718625377_deslinde_1763668874.pdf" xr:uid="{3380E59B-80D0-46C5-B184-04464C7232B4}"/>
    <hyperlink ref="M40" r:id="rId73" display="https://www.r2timing.com/uploads/rioverde_2025/1718625377_comprobante_1763668874.jpg" xr:uid="{C7A38C2D-1914-4148-885F-F3E6EA6ED3B0}"/>
    <hyperlink ref="L41" r:id="rId74" display="https://www.r2timing.com/uploads/rioverde_2025/1718625377_deslinde_1763668940.pdf" xr:uid="{5C8F371F-782D-4351-B18A-376F65D12784}"/>
    <hyperlink ref="M41" r:id="rId75" display="https://www.r2timing.com/uploads/rioverde_2025/1718625377_comprobante_1763668940.jpg" xr:uid="{A3F7A640-6EBE-4651-A6D6-2A4BE4FF1FFC}"/>
    <hyperlink ref="L42" r:id="rId76" display="https://www.r2timing.com/uploads/rioverde_2025/1804943510_deslinde_1763761657.jpg" xr:uid="{9B900EB6-98CD-4685-81A1-6B4424D186C9}"/>
    <hyperlink ref="M42" r:id="rId77" display="https://www.r2timing.com/uploads/rioverde_2025/1804943510_comprobante_1763761657.png" xr:uid="{45FD6E82-A26C-4EDA-A2E2-3944ED5A915F}"/>
    <hyperlink ref="L43" r:id="rId78" display="https://www.r2timing.com/uploads/rioverde_2025/0504120189_deslinde_1763774026.jpg" xr:uid="{72EAD2C2-8B5D-40AF-829A-AF0A91E4F398}"/>
    <hyperlink ref="M43" r:id="rId79" display="https://www.r2timing.com/uploads/rioverde_2025/0504120189_comprobante_1763774026.jpg" xr:uid="{F2E94D2F-7160-43B3-87D4-1C7E1C015E3D}"/>
    <hyperlink ref="L44" r:id="rId80" display="https://www.r2timing.com/uploads/rioverde_2025/1804715298_deslinde_1763995337.jpg" xr:uid="{E4904FEB-2BBF-424B-BB44-AA7D971C9C6E}"/>
    <hyperlink ref="M44" r:id="rId81" display="https://www.r2timing.com/uploads/rioverde_2025/1804715298_comprobante_1763995337.jpg" xr:uid="{A4E1E7A2-7A67-473B-A995-A8E269FC616D}"/>
    <hyperlink ref="L45" r:id="rId82" display="https://www.r2timing.com/uploads/rioverde_2025/0604701557_deslinde_1764000572.pdf" xr:uid="{C1CC6194-0764-43A9-935B-0650A3B7AFB7}"/>
    <hyperlink ref="M45" r:id="rId83" display="https://www.r2timing.com/uploads/rioverde_2025/0604701557_comprobante_1764000572.jpg" xr:uid="{E6419E85-D0E2-4141-9E83-BF89BAD186E6}"/>
    <hyperlink ref="L46" r:id="rId84" display="https://www.r2timing.com/uploads/rioverde_2025/1650118977_deslinde_1764002723.pdf" xr:uid="{D77408E4-54BC-4F01-A844-AC30EA8B2932}"/>
    <hyperlink ref="M46" r:id="rId85" display="https://www.r2timing.com/uploads/rioverde_2025/1650118977_comprobante_1764002723.png" xr:uid="{5AA98209-B480-4E60-B2F3-D9E2D321942F}"/>
    <hyperlink ref="N46" r:id="rId86" display="https://www.r2timing.com/uploads/rioverde_2025/1650118977_autorizacion_1764002723.pdf" xr:uid="{6ACB4DD7-5198-4D8A-A99A-F350D14C8254}"/>
    <hyperlink ref="L47" r:id="rId87" display="https://www.r2timing.com/uploads/rioverde_2025/1600768210_deslinde_1764002861.pdf" xr:uid="{813A4122-4B82-4F86-B4DC-689475750842}"/>
    <hyperlink ref="M47" r:id="rId88" display="https://www.r2timing.com/uploads/rioverde_2025/1600768210_comprobante_1764002861.png" xr:uid="{0B28EC3A-205E-4087-8DE2-7036A93AC4B8}"/>
    <hyperlink ref="L48" r:id="rId89" display="https://www.r2timing.com/uploads/rioverde_2025/1850380591_deslinde_1764003256.png" xr:uid="{6577257B-5570-4149-8E37-5EEC514B8C3A}"/>
    <hyperlink ref="M48" r:id="rId90" display="https://www.r2timing.com/uploads/rioverde_2025/1850380591_comprobante_1764003256.jpg" xr:uid="{6DEB4B4E-B9F5-4172-880E-766DE21172AE}"/>
    <hyperlink ref="L49" r:id="rId91" display="https://www.r2timing.com/uploads/rioverde_2025/1758299224_deslinde_1764014449.pdf" xr:uid="{4542F820-CE73-41D4-A637-09BE74E24BBE}"/>
    <hyperlink ref="M49" r:id="rId92" display="https://www.r2timing.com/uploads/rioverde_2025/1758299224_comprobante_1764014449.jpeg" xr:uid="{94E8120E-5C9A-4198-8A35-7BDF8A23BA2D}"/>
    <hyperlink ref="L50" r:id="rId93" display="https://www.r2timing.com/uploads/rioverde_2025/1760635241_deslinde_1764014533.pdf" xr:uid="{7164C4AE-C125-4FC2-B04E-047854A50544}"/>
    <hyperlink ref="M50" r:id="rId94" display="https://www.r2timing.com/uploads/rioverde_2025/1760635241_comprobante_1764014533.jpeg" xr:uid="{E7EC443B-8D00-490B-861E-A904F8BFF302}"/>
    <hyperlink ref="L51" r:id="rId95" display="https://www.r2timing.com/uploads/rioverde_2025/1600831919_deslinde_1764014594.pdf" xr:uid="{A598CC49-F726-4219-B2E4-235A34B1A9AF}"/>
    <hyperlink ref="M51" r:id="rId96" display="https://www.r2timing.com/uploads/rioverde_2025/1600831919_comprobante_1764014594.jpeg" xr:uid="{13B6182F-804E-47B0-BA89-6792629189FD}"/>
    <hyperlink ref="L52" r:id="rId97" display="https://www.r2timing.com/uploads/rioverde_2025/1805081633_deslinde_1764014663.pdf" xr:uid="{2D7459B8-3806-4F6F-9891-A109498A7BB5}"/>
    <hyperlink ref="M52" r:id="rId98" display="https://www.r2timing.com/uploads/rioverde_2025/1805081633_comprobante_1764014663.jpeg" xr:uid="{44541784-FD7E-4068-BB5A-2A8311AD6769}"/>
    <hyperlink ref="L53" r:id="rId99" display="https://www.r2timing.com/uploads/rioverde_2025/1600525982_deslinde_1764014727.pdf" xr:uid="{17FDBBE2-B4A1-46F5-9F55-9EB781482634}"/>
    <hyperlink ref="M53" r:id="rId100" display="https://www.r2timing.com/uploads/rioverde_2025/1600525982_comprobante_1764014727.jpeg" xr:uid="{24C33706-1BA6-41E8-97CE-98D5FAA2932F}"/>
    <hyperlink ref="L54" r:id="rId101" display="https://www.r2timing.com/uploads/rioverde_2025/1600623266_deslinde_1764014787.pdf" xr:uid="{50F9A8AF-39F0-4FAF-A4C5-F88A574CAA49}"/>
    <hyperlink ref="M54" r:id="rId102" display="https://www.r2timing.com/uploads/rioverde_2025/1600623266_comprobante_1764014787.jpeg" xr:uid="{585FC01D-C1CD-4074-912F-81D483C37C77}"/>
    <hyperlink ref="L55" r:id="rId103" display="https://www.r2timing.com/uploads/rioverde_2025/1315078202_deslinde_1764014853.pdf" xr:uid="{552C1837-3C74-4840-AFC0-2137FBC75539}"/>
    <hyperlink ref="M55" r:id="rId104" display="https://www.r2timing.com/uploads/rioverde_2025/1315078202_comprobante_1764014853.jpeg" xr:uid="{1367F936-ED5F-4F38-9E1A-29A1B0625538}"/>
    <hyperlink ref="L56" r:id="rId105" display="https://www.r2timing.com/uploads/rioverde_2025/0703553776_deslinde_1764014927.pdf" xr:uid="{FB30E4FF-91A1-4776-8576-68DEEA4AC832}"/>
    <hyperlink ref="M56" r:id="rId106" display="https://www.r2timing.com/uploads/rioverde_2025/0703553776_comprobante_1764014927.jpeg" xr:uid="{17FB5758-6C0B-4611-8F77-17B68506922C}"/>
    <hyperlink ref="L57" r:id="rId107" display="https://www.r2timing.com/uploads/rioverde_2025/1718894817_deslinde_1764015008.pdf" xr:uid="{D10AF245-B6D8-454E-9E05-387892A01B77}"/>
    <hyperlink ref="M57" r:id="rId108" display="https://www.r2timing.com/uploads/rioverde_2025/1718894817_comprobante_1764015008.jpeg" xr:uid="{B6D14084-E1A1-48F3-BD82-7E47A2806732}"/>
    <hyperlink ref="L58" r:id="rId109" display="https://www.r2timing.com/uploads/rioverde_2025/0605797034_deslinde_1764016181.png" xr:uid="{6AEED86F-20C6-4CD3-B336-910C4B9E526E}"/>
    <hyperlink ref="M58" r:id="rId110" display="https://www.r2timing.com/uploads/rioverde_2025/0605797034_comprobante_1764016181.jpg" xr:uid="{F7B09118-CC4E-4707-B698-075FC3C89E46}"/>
    <hyperlink ref="L59" r:id="rId111" display="https://www.r2timing.com/uploads/rioverde_2025/1804619102_deslinde_1764030605.jpg" xr:uid="{42D232D5-8BDD-4BDF-83F4-0A1A6530DC7A}"/>
    <hyperlink ref="M59" r:id="rId112" display="https://www.r2timing.com/uploads/rioverde_2025/1804619102_comprobante_1764030605.jpg" xr:uid="{86EAF5F1-D768-49B9-B4E3-31B25E28D902}"/>
    <hyperlink ref="L60" r:id="rId113" display="https://www.r2timing.com/uploads/rioverde_2025/1804681425_deslinde_1764030881.jpg" xr:uid="{2318B310-72A0-4B5E-A878-9F47604596B2}"/>
    <hyperlink ref="M60" r:id="rId114" display="https://www.r2timing.com/uploads/rioverde_2025/1804681425_comprobante_1764030881.jpg" xr:uid="{2AB3DA80-441A-4AF9-A1B7-A04C45A6388B}"/>
    <hyperlink ref="L61" r:id="rId115" display="https://www.r2timing.com/uploads/rioverde_2025/1650016056_deslinde_1764036043.jpg" xr:uid="{E98AE5BC-9118-42D2-B256-76745B8C7629}"/>
    <hyperlink ref="M61" r:id="rId116" display="https://www.r2timing.com/uploads/rioverde_2025/1650016056_comprobante_1764036043.jpg" xr:uid="{92325711-E9B3-472A-900D-CE68F4250CC7}"/>
    <hyperlink ref="L62" r:id="rId117" display="https://www.r2timing.com/uploads/rioverde_2025/0503247967_deslinde_1764038510.pdf" xr:uid="{DD2ABC3D-EABF-4CFC-9EE5-69BB3E28F51A}"/>
    <hyperlink ref="M62" r:id="rId118" display="https://www.r2timing.com/uploads/rioverde_2025/0503247967_comprobante_1764038510.pdf" xr:uid="{B2893836-7935-4002-A283-15207CAAFEC1}"/>
    <hyperlink ref="L63" r:id="rId119" display="https://www.r2timing.com/uploads/rioverde_2025/1805388814_deslinde_1764038792.pdf" xr:uid="{44279BC0-8C51-4921-9E58-C31BA1DFFBCA}"/>
    <hyperlink ref="M63" r:id="rId120" display="https://www.r2timing.com/uploads/rioverde_2025/1805388814_comprobante_1764038792.jpeg" xr:uid="{B432E271-2C6E-45EB-95D9-47E81AD933A2}"/>
    <hyperlink ref="L64" r:id="rId121" display="https://www.r2timing.com/uploads/rioverde_2025/1805387105_deslinde_1764038943.pdf" xr:uid="{BB38DC23-2BFA-48F2-AC5D-909F5385CAAB}"/>
    <hyperlink ref="M64" r:id="rId122" display="https://www.r2timing.com/uploads/rioverde_2025/1805387105_comprobante_1764038943.jpeg" xr:uid="{5901D6D2-D4A4-4060-A66D-970B4DB4BBA8}"/>
    <hyperlink ref="L65" r:id="rId123" display="https://www.r2timing.com/uploads/rioverde_2025/0503613077_deslinde_1764038972.pdf" xr:uid="{E87A979C-2AD5-472A-914A-054BDCCBBBFC}"/>
    <hyperlink ref="M65" r:id="rId124" display="https://www.r2timing.com/uploads/rioverde_2025/0503613077_comprobante_1764038972.pdf" xr:uid="{56BCB7E3-EA06-4047-B9D2-7A6CF6B84823}"/>
    <hyperlink ref="L66" r:id="rId125" display="https://www.r2timing.com/uploads/rioverde_2025/1804046629_deslinde_1764078929.pdf" xr:uid="{03A924CB-26C3-4496-B2F5-A556B3052EF9}"/>
    <hyperlink ref="M66" r:id="rId126" display="https://www.r2timing.com/uploads/rioverde_2025/1804046629_comprobante_1764078929.jpg" xr:uid="{B8619F02-1A31-4E05-818F-F85C1821FD52}"/>
    <hyperlink ref="L67" r:id="rId127" display="https://www.r2timing.com/uploads/rioverde_2025/1804046629_deslinde_1764078948.pdf" xr:uid="{1AA1ADAA-9DED-488C-BA78-0D596DF3AA14}"/>
    <hyperlink ref="M67" r:id="rId128" display="https://www.r2timing.com/uploads/rioverde_2025/1804046629_comprobante_1764078948.jpg" xr:uid="{DA49EC8E-F618-4314-8EF0-B6197BED9BD7}"/>
    <hyperlink ref="L68" r:id="rId129" display="https://www.r2timing.com/uploads/rioverde_2025/1804046629_deslinde_1764078955.pdf" xr:uid="{E8250F3C-2702-4A21-8481-277962E2E0E8}"/>
    <hyperlink ref="M68" r:id="rId130" display="https://www.r2timing.com/uploads/rioverde_2025/1804046629_comprobante_1764078955.jpg" xr:uid="{525DD61D-59D3-48A7-B105-EE5B3BC76482}"/>
    <hyperlink ref="L69" r:id="rId131" display="https://www.r2timing.com/uploads/rioverde_2025/1723213011_deslinde_1764087767.pdf" xr:uid="{5C98C656-50C4-4FC2-8F59-9A2BB4B3F336}"/>
    <hyperlink ref="M69" r:id="rId132" display="https://www.r2timing.com/uploads/rioverde_2025/1723213011_comprobante_1764087767.pdf" xr:uid="{9B315CB0-C31C-4CBC-8445-45C7336FA7A7}"/>
    <hyperlink ref="L70" r:id="rId133" display="https://www.r2timing.com/uploads/rioverde_2025/1803151933_deslinde_1764088392.pdf" xr:uid="{5183E6E3-FD6E-4849-8C5B-655657BBBF33}"/>
    <hyperlink ref="M70" r:id="rId134" display="https://www.r2timing.com/uploads/rioverde_2025/1803151933_comprobante_1764088392.jpg" xr:uid="{E47A6CFE-1DB4-41A9-8D3E-44556195D930}"/>
    <hyperlink ref="L71" r:id="rId135" display="https://www.r2timing.com/uploads/rioverde_2025/1600745440_deslinde_1764088709.jpg" xr:uid="{A4F9C6AA-9851-4C64-B484-7BA7E098B097}"/>
    <hyperlink ref="M71" r:id="rId136" display="https://www.r2timing.com/uploads/rioverde_2025/1600745440_comprobante_1764088709.png" xr:uid="{200E562A-9B95-4685-B1F6-2FD73A478358}"/>
    <hyperlink ref="L72" r:id="rId137" display="https://www.r2timing.com/uploads/rioverde_2025/0601962210_deslinde_1764089070.jpg" xr:uid="{41FE309C-BEA4-4412-882D-21E3D268B50F}"/>
    <hyperlink ref="M72" r:id="rId138" display="https://www.r2timing.com/uploads/rioverde_2025/0601962210_comprobante_1764089070.png" xr:uid="{4C4F9C38-49E9-4724-A6BE-45AFEE41374C}"/>
    <hyperlink ref="L73" r:id="rId139" display="https://www.r2timing.com/uploads/rioverde_2025/1600831893_deslinde_1764089291.jpg" xr:uid="{EC9B1C22-2844-4422-A9B8-5BDB0AF841D3}"/>
    <hyperlink ref="M73" r:id="rId140" display="https://www.r2timing.com/uploads/rioverde_2025/1600831893_comprobante_1764089291.png" xr:uid="{96B9705A-1B6C-452B-AF21-C80596970B74}"/>
    <hyperlink ref="L74" r:id="rId141" display="https://www.r2timing.com/uploads/rioverde_2025/0605029354_deslinde_1764089579.pdf" xr:uid="{92CCB096-A23E-4913-A317-3C70DE3E66CA}"/>
    <hyperlink ref="M74" r:id="rId142" display="https://www.r2timing.com/uploads/rioverde_2025/0605029354_comprobante_1764089579.jpg" xr:uid="{B3AC0078-DDC5-4EFF-BE2A-5499ABF18A0D}"/>
    <hyperlink ref="L75" r:id="rId143" display="https://www.r2timing.com/uploads/rioverde_2025/1600759821_deslinde_1764091782.jpg" xr:uid="{1E0052D0-DD47-41F3-BE05-863C757AF4D9}"/>
    <hyperlink ref="M75" r:id="rId144" display="https://www.r2timing.com/uploads/rioverde_2025/1600759821_comprobante_1764091782.png" xr:uid="{4926FF84-40BE-42FB-8FB1-EBDD0E7506CC}"/>
    <hyperlink ref="L76" r:id="rId145" display="https://www.r2timing.com/uploads/rioverde_2025/0604439299_deslinde_1764095569.pdf" xr:uid="{24180CDD-E206-4174-B6A9-4788405DBFED}"/>
    <hyperlink ref="M76" r:id="rId146" display="https://www.r2timing.com/uploads/rioverde_2025/0604439299_comprobante_1764095569.jpg" xr:uid="{54F42227-41B2-48B1-88AF-BAB5A92F85ED}"/>
    <hyperlink ref="L77" r:id="rId147" display="https://www.r2timing.com/uploads/rioverde_2025/1803012382_deslinde_1764101982.jpg" xr:uid="{8BA53BC7-7EF9-4E95-B67E-FC2A707ACCBB}"/>
    <hyperlink ref="M77" r:id="rId148" display="https://www.r2timing.com/uploads/rioverde_2025/1803012382_comprobante_1764101982.png" xr:uid="{DC6B8056-0197-4C22-B959-9B852932CC9B}"/>
    <hyperlink ref="N77" r:id="rId149" display="https://www.r2timing.com/uploads/rioverde_2025/1803012382_autorizacion_1764101982.jpg" xr:uid="{81015EF5-BE08-4347-95F3-D491DDEA4A9D}"/>
    <hyperlink ref="L78" r:id="rId150" display="https://www.r2timing.com/uploads/rioverde_2025/1600638793_deslinde_1764104742.pdf" xr:uid="{23489735-0B4D-48C5-8011-CE98524967C4}"/>
    <hyperlink ref="M78" r:id="rId151" display="https://www.r2timing.com/uploads/rioverde_2025/1600638793_comprobante_1764104742.jpeg" xr:uid="{35B018CD-1AA5-41AB-96CA-D5FEE31831F0}"/>
    <hyperlink ref="L79" r:id="rId152" display="https://www.r2timing.com/uploads/rioverde_2025/1850035781_deslinde_1764105686.pdf" xr:uid="{6E01CD65-1804-470A-8326-7B4DB0539E4A}"/>
    <hyperlink ref="M79" r:id="rId153" display="https://www.r2timing.com/uploads/rioverde_2025/1850035781_comprobante_1764105686.jpeg" xr:uid="{19A64EF2-41C1-48B0-914A-380E4B8F87AE}"/>
    <hyperlink ref="L80" r:id="rId154" display="https://www.r2timing.com/uploads/rioverde_2025/1803890936_deslinde_1764105822.pdf" xr:uid="{AAFDA26E-5376-4D71-86D5-FDE8E129733D}"/>
    <hyperlink ref="M80" r:id="rId155" display="https://www.r2timing.com/uploads/rioverde_2025/1803890936_comprobante_1764105822.jpeg" xr:uid="{8EC4F800-ADB1-41CC-A14B-6B3568FF15A1}"/>
    <hyperlink ref="L81" r:id="rId156" display="https://www.r2timing.com/uploads/rioverde_2025/1803694122_deslinde_1764106073.pdf" xr:uid="{662B4C6A-8D55-436F-A160-E0AB5CE00ECF}"/>
    <hyperlink ref="M81" r:id="rId157" display="https://www.r2timing.com/uploads/rioverde_2025/1803694122_comprobante_1764106073.jpeg" xr:uid="{49004B34-8129-41D2-9A0F-988200840453}"/>
    <hyperlink ref="L82" r:id="rId158" display="https://www.r2timing.com/uploads/rioverde_2025/1803591005_deslinde_1764106217.pdf" xr:uid="{10B283C6-1B39-4A62-AD6F-43B0FD7A7BE3}"/>
    <hyperlink ref="M82" r:id="rId159" display="https://www.r2timing.com/uploads/rioverde_2025/1803591005_comprobante_1764106217.jpeg" xr:uid="{70598E12-869C-48EB-9A0E-17BA27DC9D5A}"/>
    <hyperlink ref="L83" r:id="rId160" display="https://www.r2timing.com/uploads/rioverde_2025/1804663589_deslinde_1764106635.pdf" xr:uid="{05447AC4-BF03-4C25-B27D-EC17794A6C56}"/>
    <hyperlink ref="M83" r:id="rId161" display="https://www.r2timing.com/uploads/rioverde_2025/1804663589_comprobante_1764106635.jpeg" xr:uid="{576CA2C2-45BD-43E3-9A99-F65B4E03BA31}"/>
    <hyperlink ref="L84" r:id="rId162" display="https://www.r2timing.com/uploads/rioverde_2025/1802751626_deslinde_1764108084.pdf" xr:uid="{ABED7531-2280-4E05-ACF9-521AEA8282BB}"/>
    <hyperlink ref="M84" r:id="rId163" display="https://www.r2timing.com/uploads/rioverde_2025/1802751626_comprobante_1764108084.jpeg" xr:uid="{15BBE2BC-2E39-42D7-9D76-D9A06BD7AD99}"/>
    <hyperlink ref="L85" r:id="rId164" display="https://www.r2timing.com/uploads/rioverde_2025/1804752515_deslinde_1764108372.pdf" xr:uid="{B12282B6-81F7-4F56-AFC8-060CA3E1ACEF}"/>
    <hyperlink ref="M85" r:id="rId165" display="https://www.r2timing.com/uploads/rioverde_2025/1804752515_comprobante_1764108372.jpeg" xr:uid="{4E797717-375E-4AB8-A10A-AF784E54676F}"/>
    <hyperlink ref="L86" r:id="rId166" display="https://www.r2timing.com/uploads/rioverde_2025/1803502499_deslinde_1764108648.pdf" xr:uid="{2F33B985-6BC9-4EE5-8239-BF706CA5E825}"/>
    <hyperlink ref="M86" r:id="rId167" display="https://www.r2timing.com/uploads/rioverde_2025/1803502499_comprobante_1764108648.jpeg" xr:uid="{5E40FD4A-560B-41D4-95F3-9E392E0E13EB}"/>
    <hyperlink ref="L87" r:id="rId168" display="https://www.r2timing.com/uploads/rioverde_2025/1804104329_deslinde_1764109511.pdf" xr:uid="{6C8A8404-DE9D-413D-BEF7-FF4E7FBE70BC}"/>
    <hyperlink ref="M87" r:id="rId169" display="https://www.r2timing.com/uploads/rioverde_2025/1804104329_comprobante_1764109511.jpeg" xr:uid="{B1B31878-0571-4B77-9B8B-B35412169659}"/>
    <hyperlink ref="L88" r:id="rId170" display="https://www.r2timing.com/uploads/rioverde_2025/1600736100_deslinde_1764113640.pdf" xr:uid="{139A705C-8244-4D91-BA4F-73FAE71FA575}"/>
    <hyperlink ref="M88" r:id="rId171" display="https://www.r2timing.com/uploads/rioverde_2025/1600736100_comprobante_1764113640.png" xr:uid="{BD61B4FE-150C-4DF4-8217-1F8F169CC867}"/>
    <hyperlink ref="L89" r:id="rId172" display="https://www.r2timing.com/uploads/rioverde_2025/1600736100_deslinde_1764113702.pdf" xr:uid="{161256B3-651D-49BA-A742-468B467FAF86}"/>
    <hyperlink ref="M89" r:id="rId173" display="https://www.r2timing.com/uploads/rioverde_2025/1600736100_comprobante_1764113702.png" xr:uid="{3E0A1717-54AB-48DE-8386-7F9E6120B9D2}"/>
    <hyperlink ref="L90" r:id="rId174" display="https://www.r2timing.com/uploads/rioverde_2025/1850476514_deslinde_1764113990.jpg" xr:uid="{86EF7288-8175-465B-B04A-8286675C8CAB}"/>
    <hyperlink ref="M90" r:id="rId175" display="https://www.r2timing.com/uploads/rioverde_2025/1850476514_comprobante_1764113990.jpg" xr:uid="{1EE676AF-522A-4550-A1CF-99C61D04BD42}"/>
    <hyperlink ref="L91" r:id="rId176" display="https://www.r2timing.com/uploads/rioverde_2025/2250093669_deslinde_1764114220.pdf" xr:uid="{9A0EEA18-7BED-411A-B765-20099DF4F7A5}"/>
    <hyperlink ref="M91" r:id="rId177" display="https://www.r2timing.com/uploads/rioverde_2025/2250093669_comprobante_1764114220.png" xr:uid="{8A187F19-0074-4B84-96EF-D5ECC15F1637}"/>
    <hyperlink ref="L92" r:id="rId178" display="https://www.r2timing.com/uploads/rioverde_2025/1805540331_deslinde_1764114840.jpg" xr:uid="{CD284FC1-523F-4822-98C5-34D50EF1E605}"/>
    <hyperlink ref="M92" r:id="rId179" display="https://www.r2timing.com/uploads/rioverde_2025/1805540331_comprobante_1764114840.jpg" xr:uid="{CA471BE9-F37C-4B62-9DF2-D98745E35E93}"/>
    <hyperlink ref="L93" r:id="rId180" display="https://www.r2timing.com/uploads/rioverde_2025/1850621648_deslinde_1764115313.jpg" xr:uid="{998810A5-3C27-44AA-803E-C255A21F6AB7}"/>
    <hyperlink ref="M93" r:id="rId181" display="https://www.r2timing.com/uploads/rioverde_2025/1850621648_comprobante_1764115313.jpg" xr:uid="{E0957A14-E078-4C53-9378-E298931C5622}"/>
    <hyperlink ref="L94" r:id="rId182" display="https://www.r2timing.com/uploads/rioverde_2025/1501019440_deslinde_1764116214.pdf" xr:uid="{35C58649-B2A0-4A7C-888F-9F7E950E3F47}"/>
    <hyperlink ref="M94" r:id="rId183" display="https://www.r2timing.com/uploads/rioverde_2025/1501019440_comprobante_1764116214.jpeg" xr:uid="{6D3BFC20-CCA5-41E1-BE3A-056B946288B6}"/>
    <hyperlink ref="L95" r:id="rId184" display="https://www.r2timing.com/uploads/rioverde_2025/1805184957_deslinde_1764117666.jpg" xr:uid="{CFB666EF-29AF-46FA-9296-C6ECB870FA3C}"/>
    <hyperlink ref="M95" r:id="rId185" display="https://www.r2timing.com/uploads/rioverde_2025/1805184957_comprobante_1764117666.jpg" xr:uid="{EB6AEA3D-BD48-4368-BFE6-537FD1AACD3D}"/>
    <hyperlink ref="L96" r:id="rId186" display="https://www.r2timing.com/uploads/rioverde_2025/1715566434_deslinde_1764120019.jpg" xr:uid="{2BBF79F0-C5E5-4549-BBC4-85185DAB0C9A}"/>
    <hyperlink ref="M96" r:id="rId187" display="https://www.r2timing.com/uploads/rioverde_2025/1715566434_comprobante_1764120019.jpg" xr:uid="{95D654FB-D383-4AC3-80DA-EDDCCE74CAFD}"/>
    <hyperlink ref="L97" r:id="rId188" display="https://www.r2timing.com/uploads/rioverde_2025/0604063297_deslinde_1764120183.pdf" xr:uid="{F63850C8-22B2-4EC8-9F3E-4CE7991C2B1E}"/>
    <hyperlink ref="M97" r:id="rId189" display="https://www.r2timing.com/uploads/rioverde_2025/0604063297_comprobante_1764120183.jpeg" xr:uid="{52196214-225A-46EA-9687-4A26E0E8DFBC}"/>
    <hyperlink ref="L98" r:id="rId190" display="https://www.r2timing.com/uploads/rioverde_2025/0603692328_deslinde_1764120327.jpg" xr:uid="{48E6ED26-BF37-453D-8B06-E6B015E18845}"/>
    <hyperlink ref="M98" r:id="rId191" display="https://www.r2timing.com/uploads/rioverde_2025/0603692328_comprobante_1764120327.jpg" xr:uid="{CA14FE8A-B461-4AF4-A151-1EC438F4A1A3}"/>
    <hyperlink ref="L99" r:id="rId192" display="https://www.r2timing.com/uploads/rioverde_2025/1600504235_deslinde_1764122581.pdf" xr:uid="{2AE92D68-6DB7-4587-A46B-C4B6DFF08B96}"/>
    <hyperlink ref="M99" r:id="rId193" display="https://www.r2timing.com/uploads/rioverde_2025/1600504235_comprobante_1764122581.jpeg" xr:uid="{7C8C67F4-94D1-4E8D-B3FA-492C1B732DF9}"/>
    <hyperlink ref="L100" r:id="rId194" display="https://www.r2timing.com/uploads/rioverde_2025/0202223012_deslinde_1764128498.png" xr:uid="{952BC5B7-9F2C-4AF7-90E7-E396E7A565C7}"/>
    <hyperlink ref="M100" r:id="rId195" display="https://www.r2timing.com/uploads/rioverde_2025/0202223012_comprobante_1764128498.jpg" xr:uid="{43388BE7-D806-411C-9995-4ED96584C99E}"/>
    <hyperlink ref="L101" r:id="rId196" display="https://www.r2timing.com/uploads/rioverde_2025/1719938423_deslinde_1764129342.jpg" xr:uid="{D9F0921E-CE2F-44FC-A5B7-C5EBE971E999}"/>
    <hyperlink ref="M101" r:id="rId197" display="https://www.r2timing.com/uploads/rioverde_2025/1719938423_comprobante_1764129342.jpg" xr:uid="{AFF1F5FE-B97D-4205-8081-2E67B4A50997}"/>
    <hyperlink ref="L102" r:id="rId198" display="https://www.r2timing.com/uploads/rioverde_2025/1751466978_deslinde_1764129825.jpg" xr:uid="{CDBDDF63-3AD9-4E71-B9A6-2F54EE9563EB}"/>
    <hyperlink ref="M102" r:id="rId199" display="https://www.r2timing.com/uploads/rioverde_2025/1751466978_comprobante_1764129825.jpg" xr:uid="{D312CFF7-49F7-4323-877A-A95D5C30C8D7}"/>
    <hyperlink ref="L103" r:id="rId200" display="https://www.r2timing.com/uploads/rioverde_2025/0603466541_deslinde_1764134161.pdf" xr:uid="{29B34096-B96C-4CCF-933C-33BC9DAE3EB4}"/>
    <hyperlink ref="M103" r:id="rId201" display="https://www.r2timing.com/uploads/rioverde_2025/0603466541_comprobante_1764134161.png" xr:uid="{CB4EB60A-EABD-4C2D-9CFD-9C23AA1C0356}"/>
    <hyperlink ref="L104" r:id="rId202" display="https://www.r2timing.com/uploads/rioverde_2025/0603466541_deslinde_1764134163.pdf" xr:uid="{33196D47-6E72-4264-A6BB-D23B48AEEC4C}"/>
    <hyperlink ref="M104" r:id="rId203" display="https://www.r2timing.com/uploads/rioverde_2025/0603466541_comprobante_1764134163.png" xr:uid="{7CA66A40-BB2B-4FE2-A5C4-2400D8A7B855}"/>
    <hyperlink ref="L105" r:id="rId204" display="https://www.r2timing.com/uploads/rioverde_2025/0603466541_deslinde_1764134165.pdf" xr:uid="{6F1BB9C9-C699-49FE-86E5-8B7A2B80109C}"/>
    <hyperlink ref="M105" r:id="rId205" display="https://www.r2timing.com/uploads/rioverde_2025/0603466541_comprobante_1764134165.png" xr:uid="{A8B8C1AC-BED5-4905-B351-B60EC6BA0371}"/>
    <hyperlink ref="L106" r:id="rId206" display="https://www.r2timing.com/uploads/rioverde_2025/0603466541_deslinde_1764134249.pdf" xr:uid="{F2B2B10E-7361-47F7-B8D7-19585BA81B4F}"/>
    <hyperlink ref="M106" r:id="rId207" display="https://www.r2timing.com/uploads/rioverde_2025/0603466541_comprobante_1764134249.png" xr:uid="{99FF162D-E307-4687-99E4-DF1DE473F07E}"/>
    <hyperlink ref="L107" r:id="rId208" display="https://www.r2timing.com/uploads/rioverde_2025/0603466541_deslinde_1764134257.pdf" xr:uid="{3CF9B822-AADD-437B-BA4B-599004B79603}"/>
    <hyperlink ref="M107" r:id="rId209" display="https://www.r2timing.com/uploads/rioverde_2025/0603466541_comprobante_1764134257.png" xr:uid="{992C3C8C-956D-4635-82B4-259EC0B33997}"/>
    <hyperlink ref="L108" r:id="rId210" display="https://www.r2timing.com/uploads/rioverde_2025/0603575572_deslinde_1764134971.png" xr:uid="{007B2260-8A5D-45C4-8D6F-8009B6657583}"/>
    <hyperlink ref="M108" r:id="rId211" display="https://www.r2timing.com/uploads/rioverde_2025/0603575572_comprobante_1764134971.png" xr:uid="{EA71F127-A331-4EEE-96E8-E0FF5E581C0F}"/>
    <hyperlink ref="L109" r:id="rId212" display="https://www.r2timing.com/uploads/rioverde_2025/0603575572_deslinde_1764134973.png" xr:uid="{9BD5576F-02D9-41C2-AA06-2C89C1D0997C}"/>
    <hyperlink ref="M109" r:id="rId213" display="https://www.r2timing.com/uploads/rioverde_2025/0603575572_comprobante_1764134973.png" xr:uid="{DFC1598D-D917-4748-852D-3C7C698BBAA7}"/>
    <hyperlink ref="L110" r:id="rId214" display="https://www.r2timing.com/uploads/rioverde_2025/1850218973_deslinde_1764165518.pdf" xr:uid="{4DB88997-7931-4D3C-832B-60178A98811F}"/>
    <hyperlink ref="M110" r:id="rId215" display="https://www.r2timing.com/uploads/rioverde_2025/1850218973_comprobante_1764165518.jpeg" xr:uid="{B19BEF0F-6919-4E8D-9FE2-054AC58D536E}"/>
    <hyperlink ref="N110" r:id="rId216" display="https://www.r2timing.com/uploads/rioverde_2025/1850218973_autorizacion_1764165518.pdf" xr:uid="{690850C0-23BA-4868-8AC3-A00EBE3FC8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6550-BC60-40C9-BB69-3D47E5C05C0B}">
  <sheetPr filterMode="1"/>
  <dimension ref="A3:N27"/>
  <sheetViews>
    <sheetView topLeftCell="B9" zoomScale="90" zoomScaleNormal="90" workbookViewId="0">
      <selection activeCell="B28" sqref="B28"/>
    </sheetView>
  </sheetViews>
  <sheetFormatPr baseColWidth="10" defaultRowHeight="14.4" x14ac:dyDescent="0.3"/>
  <cols>
    <col min="1" max="1" width="15.21875" customWidth="1"/>
    <col min="2" max="2" width="23.44140625" customWidth="1"/>
    <col min="7" max="7" width="0" hidden="1" customWidth="1"/>
    <col min="13" max="13" width="11" style="20"/>
  </cols>
  <sheetData>
    <row r="3" spans="1:14" ht="27.6" x14ac:dyDescent="0.3">
      <c r="A3" s="39" t="s">
        <v>2</v>
      </c>
      <c r="B3" s="39" t="s">
        <v>3</v>
      </c>
      <c r="C3" s="39" t="s">
        <v>4</v>
      </c>
      <c r="D3" s="39" t="s">
        <v>5</v>
      </c>
      <c r="E3" s="39" t="s">
        <v>6</v>
      </c>
      <c r="F3" s="39" t="s">
        <v>7</v>
      </c>
      <c r="G3" s="39" t="s">
        <v>8</v>
      </c>
      <c r="H3" s="39" t="s">
        <v>9</v>
      </c>
      <c r="I3" s="39" t="s">
        <v>10</v>
      </c>
      <c r="J3" s="39" t="s">
        <v>11</v>
      </c>
      <c r="K3" s="39" t="s">
        <v>264</v>
      </c>
      <c r="L3" s="39" t="s">
        <v>265</v>
      </c>
      <c r="M3" s="26"/>
    </row>
    <row r="4" spans="1:14" ht="55.2" hidden="1" x14ac:dyDescent="0.3">
      <c r="A4" s="40">
        <v>45973.857048611113</v>
      </c>
      <c r="B4" s="41" t="s">
        <v>48</v>
      </c>
      <c r="C4" s="41">
        <v>250330149</v>
      </c>
      <c r="D4" s="42">
        <v>41403</v>
      </c>
      <c r="E4" s="41" t="s">
        <v>35</v>
      </c>
      <c r="F4" s="41" t="s">
        <v>49</v>
      </c>
      <c r="G4" s="41" t="s">
        <v>50</v>
      </c>
      <c r="H4" s="41" t="s">
        <v>36</v>
      </c>
      <c r="I4" s="41" t="s">
        <v>47</v>
      </c>
      <c r="J4" s="41">
        <v>998344067</v>
      </c>
      <c r="K4" s="26">
        <f ca="1">YEAR(TODAY())-YEAR(D4)</f>
        <v>12</v>
      </c>
      <c r="L4" s="27" t="str">
        <f ca="1">IF(K4&lt;9,"INFANTIL A","INFANTIL B")</f>
        <v>INFANTIL B</v>
      </c>
      <c r="M4" s="26">
        <v>1</v>
      </c>
    </row>
    <row r="5" spans="1:14" ht="41.4" x14ac:dyDescent="0.3">
      <c r="A5" s="40">
        <v>45981.357199074075</v>
      </c>
      <c r="B5" s="41" t="s">
        <v>82</v>
      </c>
      <c r="C5" s="41">
        <v>1650049206</v>
      </c>
      <c r="D5" s="42">
        <v>41299</v>
      </c>
      <c r="E5" s="41" t="s">
        <v>35</v>
      </c>
      <c r="F5" s="41" t="s">
        <v>49</v>
      </c>
      <c r="G5" s="41" t="s">
        <v>50</v>
      </c>
      <c r="H5" s="41" t="s">
        <v>76</v>
      </c>
      <c r="I5" s="41" t="s">
        <v>81</v>
      </c>
      <c r="J5" s="41">
        <v>960670801</v>
      </c>
      <c r="K5" s="26">
        <f t="shared" ref="K5:K22" ca="1" si="0">YEAR(TODAY())-YEAR(D5)</f>
        <v>12</v>
      </c>
      <c r="L5" s="27" t="str">
        <f t="shared" ref="L5:L22" ca="1" si="1">IF(K5&lt;9,"INFANTIL A","INFANTIL B")</f>
        <v>INFANTIL B</v>
      </c>
      <c r="M5" s="26">
        <v>1</v>
      </c>
    </row>
    <row r="6" spans="1:14" ht="55.2" x14ac:dyDescent="0.3">
      <c r="A6" s="43">
        <v>45981.551874999997</v>
      </c>
      <c r="B6" s="44" t="s">
        <v>83</v>
      </c>
      <c r="C6" s="44">
        <v>1804299814</v>
      </c>
      <c r="D6" s="45">
        <v>42160</v>
      </c>
      <c r="E6" s="44" t="s">
        <v>16</v>
      </c>
      <c r="F6" s="44" t="s">
        <v>49</v>
      </c>
      <c r="G6" s="44" t="s">
        <v>50</v>
      </c>
      <c r="H6" s="44" t="s">
        <v>76</v>
      </c>
      <c r="I6" s="44" t="s">
        <v>84</v>
      </c>
      <c r="J6" s="44">
        <v>982343489</v>
      </c>
      <c r="K6" s="26">
        <f t="shared" ca="1" si="0"/>
        <v>10</v>
      </c>
      <c r="L6" s="27" t="str">
        <f t="shared" ca="1" si="1"/>
        <v>INFANTIL B</v>
      </c>
      <c r="M6" s="26">
        <v>1</v>
      </c>
    </row>
    <row r="7" spans="1:14" ht="41.4" x14ac:dyDescent="0.3">
      <c r="A7" s="40">
        <v>45986.638680555552</v>
      </c>
      <c r="B7" s="41" t="s">
        <v>152</v>
      </c>
      <c r="C7" s="41">
        <v>1803012382</v>
      </c>
      <c r="D7" s="42">
        <v>41658</v>
      </c>
      <c r="E7" s="41" t="s">
        <v>16</v>
      </c>
      <c r="F7" s="41" t="s">
        <v>49</v>
      </c>
      <c r="G7" s="41" t="s">
        <v>50</v>
      </c>
      <c r="H7" s="41" t="s">
        <v>76</v>
      </c>
      <c r="I7" s="41" t="s">
        <v>153</v>
      </c>
      <c r="J7" s="41">
        <v>960639721</v>
      </c>
      <c r="K7" s="26">
        <f t="shared" ca="1" si="0"/>
        <v>11</v>
      </c>
      <c r="L7" s="27" t="str">
        <f t="shared" ca="1" si="1"/>
        <v>INFANTIL B</v>
      </c>
      <c r="M7" s="26">
        <v>1</v>
      </c>
    </row>
    <row r="8" spans="1:14" ht="39.6" hidden="1" x14ac:dyDescent="0.3">
      <c r="A8" s="46">
        <v>45987.535000000003</v>
      </c>
      <c r="B8" s="34" t="s">
        <v>210</v>
      </c>
      <c r="C8" s="34">
        <v>1851025005</v>
      </c>
      <c r="D8" s="35">
        <v>41842</v>
      </c>
      <c r="E8" s="34" t="s">
        <v>35</v>
      </c>
      <c r="F8" s="34" t="s">
        <v>49</v>
      </c>
      <c r="G8" s="34" t="s">
        <v>50</v>
      </c>
      <c r="H8" s="34" t="s">
        <v>36</v>
      </c>
      <c r="I8" s="34" t="s">
        <v>211</v>
      </c>
      <c r="J8" s="34">
        <v>960146909</v>
      </c>
      <c r="K8" s="26">
        <f t="shared" ca="1" si="0"/>
        <v>11</v>
      </c>
      <c r="L8" s="27" t="str">
        <f t="shared" ca="1" si="1"/>
        <v>INFANTIL B</v>
      </c>
      <c r="M8" s="26">
        <v>1</v>
      </c>
    </row>
    <row r="9" spans="1:14" ht="39.6" x14ac:dyDescent="0.3">
      <c r="A9" s="46">
        <v>45991.951944444445</v>
      </c>
      <c r="B9" s="34" t="s">
        <v>237</v>
      </c>
      <c r="C9" s="34">
        <v>1851573194</v>
      </c>
      <c r="D9" s="35">
        <v>43765</v>
      </c>
      <c r="E9" s="34" t="s">
        <v>35</v>
      </c>
      <c r="F9" s="34" t="s">
        <v>49</v>
      </c>
      <c r="G9" s="34" t="s">
        <v>238</v>
      </c>
      <c r="H9" s="34" t="s">
        <v>76</v>
      </c>
      <c r="I9" s="34" t="s">
        <v>235</v>
      </c>
      <c r="J9" s="34">
        <v>987972279</v>
      </c>
      <c r="K9" s="26">
        <f t="shared" ca="1" si="0"/>
        <v>6</v>
      </c>
      <c r="L9" s="27" t="str">
        <f t="shared" ca="1" si="1"/>
        <v>INFANTIL A</v>
      </c>
      <c r="M9" s="26">
        <v>1</v>
      </c>
    </row>
    <row r="10" spans="1:14" ht="26.4" x14ac:dyDescent="0.3">
      <c r="A10" s="23">
        <v>45995.392025462963</v>
      </c>
      <c r="B10" s="24" t="s">
        <v>287</v>
      </c>
      <c r="C10" s="24">
        <v>1650123704</v>
      </c>
      <c r="D10" s="25">
        <v>41732</v>
      </c>
      <c r="E10" s="24" t="s">
        <v>16</v>
      </c>
      <c r="F10" s="24" t="s">
        <v>49</v>
      </c>
      <c r="G10" s="24" t="s">
        <v>50</v>
      </c>
      <c r="H10" s="24" t="s">
        <v>76</v>
      </c>
      <c r="I10" s="24" t="s">
        <v>288</v>
      </c>
      <c r="J10" s="24">
        <v>966811739</v>
      </c>
      <c r="K10" s="26">
        <f t="shared" ca="1" si="0"/>
        <v>11</v>
      </c>
      <c r="L10" s="27" t="str">
        <f t="shared" ca="1" si="1"/>
        <v>INFANTIL B</v>
      </c>
      <c r="M10" s="26">
        <v>1</v>
      </c>
    </row>
    <row r="11" spans="1:14" ht="26.4" hidden="1" x14ac:dyDescent="0.3">
      <c r="A11" s="23">
        <v>45996.571435185186</v>
      </c>
      <c r="B11" s="24" t="s">
        <v>311</v>
      </c>
      <c r="C11" s="24">
        <v>1805037130</v>
      </c>
      <c r="D11" s="25">
        <v>36093</v>
      </c>
      <c r="E11" s="24" t="s">
        <v>35</v>
      </c>
      <c r="F11" s="24" t="s">
        <v>49</v>
      </c>
      <c r="G11" s="24"/>
      <c r="H11" s="24" t="s">
        <v>19</v>
      </c>
      <c r="I11" s="24" t="s">
        <v>62</v>
      </c>
      <c r="J11" s="24">
        <v>959963255</v>
      </c>
      <c r="K11" s="26">
        <f t="shared" ca="1" si="0"/>
        <v>27</v>
      </c>
      <c r="L11" s="27" t="str">
        <f t="shared" ca="1" si="1"/>
        <v>INFANTIL B</v>
      </c>
      <c r="M11" s="26">
        <v>1</v>
      </c>
    </row>
    <row r="12" spans="1:14" ht="26.4" x14ac:dyDescent="0.3">
      <c r="A12" s="46">
        <v>45996.61986111111</v>
      </c>
      <c r="B12" s="34" t="s">
        <v>316</v>
      </c>
      <c r="C12" s="34">
        <v>1851454619</v>
      </c>
      <c r="D12" s="35">
        <v>43290</v>
      </c>
      <c r="E12" s="34" t="s">
        <v>35</v>
      </c>
      <c r="F12" s="34" t="s">
        <v>49</v>
      </c>
      <c r="G12" s="34"/>
      <c r="H12" s="34" t="s">
        <v>76</v>
      </c>
      <c r="I12" s="34" t="s">
        <v>317</v>
      </c>
      <c r="J12" s="34">
        <v>992258284</v>
      </c>
      <c r="K12" s="26">
        <f t="shared" ca="1" si="0"/>
        <v>7</v>
      </c>
      <c r="L12" s="27" t="str">
        <f t="shared" ca="1" si="1"/>
        <v>INFANTIL A</v>
      </c>
      <c r="M12" s="26">
        <v>1</v>
      </c>
    </row>
    <row r="13" spans="1:14" ht="39.6" hidden="1" x14ac:dyDescent="0.3">
      <c r="A13" s="46">
        <v>45996.71292824074</v>
      </c>
      <c r="B13" s="47" t="s">
        <v>324</v>
      </c>
      <c r="C13" s="34">
        <v>1851567410</v>
      </c>
      <c r="D13" s="35">
        <v>43741</v>
      </c>
      <c r="E13" s="34" t="s">
        <v>16</v>
      </c>
      <c r="F13" s="34" t="s">
        <v>49</v>
      </c>
      <c r="G13" s="34" t="s">
        <v>238</v>
      </c>
      <c r="H13" s="34" t="s">
        <v>363</v>
      </c>
      <c r="I13" s="34" t="s">
        <v>325</v>
      </c>
      <c r="J13" s="34">
        <v>996141215</v>
      </c>
      <c r="K13" s="26">
        <f t="shared" ca="1" si="0"/>
        <v>6</v>
      </c>
      <c r="L13" s="27" t="str">
        <f t="shared" ca="1" si="1"/>
        <v>INFANTIL A</v>
      </c>
      <c r="M13" s="26">
        <v>1</v>
      </c>
      <c r="N13" s="30">
        <v>0.5</v>
      </c>
    </row>
    <row r="14" spans="1:14" ht="39.6" x14ac:dyDescent="0.3">
      <c r="A14" s="23">
        <v>45996.716678240744</v>
      </c>
      <c r="B14" s="24" t="s">
        <v>326</v>
      </c>
      <c r="C14" s="24">
        <v>1851088986</v>
      </c>
      <c r="D14" s="25">
        <v>41945</v>
      </c>
      <c r="E14" s="24" t="s">
        <v>16</v>
      </c>
      <c r="F14" s="24" t="s">
        <v>49</v>
      </c>
      <c r="G14" s="24" t="s">
        <v>50</v>
      </c>
      <c r="H14" s="24" t="s">
        <v>76</v>
      </c>
      <c r="I14" s="24" t="s">
        <v>325</v>
      </c>
      <c r="J14" s="24">
        <v>996141215</v>
      </c>
      <c r="K14" s="26">
        <f t="shared" ca="1" si="0"/>
        <v>11</v>
      </c>
      <c r="L14" s="27" t="str">
        <f t="shared" ca="1" si="1"/>
        <v>INFANTIL B</v>
      </c>
      <c r="M14" s="26">
        <v>1</v>
      </c>
    </row>
    <row r="15" spans="1:14" ht="39.6" x14ac:dyDescent="0.3">
      <c r="A15" s="46">
        <v>45996.727141203701</v>
      </c>
      <c r="B15" s="34" t="s">
        <v>327</v>
      </c>
      <c r="C15" s="34">
        <v>1650248592</v>
      </c>
      <c r="D15" s="35">
        <v>42987</v>
      </c>
      <c r="E15" s="34" t="s">
        <v>35</v>
      </c>
      <c r="F15" s="34" t="s">
        <v>49</v>
      </c>
      <c r="G15" s="34" t="s">
        <v>238</v>
      </c>
      <c r="H15" s="34" t="s">
        <v>76</v>
      </c>
      <c r="I15" s="34" t="s">
        <v>235</v>
      </c>
      <c r="J15" s="34">
        <v>960684917</v>
      </c>
      <c r="K15" s="26">
        <f t="shared" ca="1" si="0"/>
        <v>8</v>
      </c>
      <c r="L15" s="27" t="str">
        <f t="shared" ca="1" si="1"/>
        <v>INFANTIL A</v>
      </c>
      <c r="M15" s="26">
        <v>1</v>
      </c>
    </row>
    <row r="16" spans="1:14" ht="39.6" hidden="1" x14ac:dyDescent="0.3">
      <c r="A16" s="23">
        <v>45996.729664351849</v>
      </c>
      <c r="B16" s="33" t="s">
        <v>328</v>
      </c>
      <c r="C16" s="24">
        <v>1650356494</v>
      </c>
      <c r="D16" s="25">
        <v>44069</v>
      </c>
      <c r="E16" s="24" t="s">
        <v>16</v>
      </c>
      <c r="F16" s="24" t="s">
        <v>49</v>
      </c>
      <c r="G16" s="24" t="s">
        <v>238</v>
      </c>
      <c r="H16" s="24" t="s">
        <v>363</v>
      </c>
      <c r="I16" s="24" t="s">
        <v>235</v>
      </c>
      <c r="J16" s="24">
        <v>960684917</v>
      </c>
      <c r="K16" s="26">
        <f t="shared" ca="1" si="0"/>
        <v>5</v>
      </c>
      <c r="L16" s="27" t="str">
        <f t="shared" ca="1" si="1"/>
        <v>INFANTIL A</v>
      </c>
      <c r="M16" s="26">
        <v>1</v>
      </c>
      <c r="N16" s="30">
        <v>0.5</v>
      </c>
    </row>
    <row r="17" spans="1:13" ht="26.4" x14ac:dyDescent="0.3">
      <c r="A17" s="23" t="s">
        <v>343</v>
      </c>
      <c r="B17" s="24" t="s">
        <v>383</v>
      </c>
      <c r="C17" s="24">
        <v>1650215922</v>
      </c>
      <c r="D17" s="25">
        <v>42559</v>
      </c>
      <c r="E17" s="24" t="s">
        <v>35</v>
      </c>
      <c r="F17" s="24" t="s">
        <v>49</v>
      </c>
      <c r="G17" s="24" t="s">
        <v>238</v>
      </c>
      <c r="H17" s="24" t="s">
        <v>76</v>
      </c>
      <c r="I17" s="24" t="s">
        <v>446</v>
      </c>
      <c r="J17" s="24">
        <v>996746109</v>
      </c>
      <c r="K17" s="26">
        <f t="shared" ca="1" si="0"/>
        <v>9</v>
      </c>
      <c r="L17" s="27" t="str">
        <f t="shared" ca="1" si="1"/>
        <v>INFANTIL B</v>
      </c>
      <c r="M17" s="26">
        <v>1</v>
      </c>
    </row>
    <row r="18" spans="1:13" ht="26.4" x14ac:dyDescent="0.3">
      <c r="A18" s="23" t="s">
        <v>344</v>
      </c>
      <c r="B18" s="24" t="s">
        <v>384</v>
      </c>
      <c r="C18" s="34">
        <v>1650278748</v>
      </c>
      <c r="D18" s="35">
        <v>43335</v>
      </c>
      <c r="E18" s="34" t="s">
        <v>35</v>
      </c>
      <c r="F18" s="34" t="s">
        <v>49</v>
      </c>
      <c r="G18" s="34" t="s">
        <v>238</v>
      </c>
      <c r="H18" s="34" t="s">
        <v>76</v>
      </c>
      <c r="I18" s="34" t="s">
        <v>446</v>
      </c>
      <c r="J18" s="34">
        <v>996746109</v>
      </c>
      <c r="K18" s="26">
        <f t="shared" ca="1" si="0"/>
        <v>7</v>
      </c>
      <c r="L18" s="27" t="str">
        <f t="shared" ca="1" si="1"/>
        <v>INFANTIL A</v>
      </c>
      <c r="M18" s="26">
        <v>1</v>
      </c>
    </row>
    <row r="19" spans="1:13" ht="39.6" x14ac:dyDescent="0.3">
      <c r="A19" s="23" t="s">
        <v>345</v>
      </c>
      <c r="B19" s="24" t="s">
        <v>389</v>
      </c>
      <c r="C19" s="24">
        <v>1850732031</v>
      </c>
      <c r="D19" s="25">
        <v>41636</v>
      </c>
      <c r="E19" s="24" t="s">
        <v>16</v>
      </c>
      <c r="F19" s="24" t="s">
        <v>49</v>
      </c>
      <c r="G19" s="24" t="s">
        <v>238</v>
      </c>
      <c r="H19" s="24" t="s">
        <v>76</v>
      </c>
      <c r="I19" s="24" t="s">
        <v>388</v>
      </c>
      <c r="J19" s="24">
        <v>989710911</v>
      </c>
      <c r="K19" s="26">
        <f t="shared" ca="1" si="0"/>
        <v>12</v>
      </c>
      <c r="L19" s="27" t="str">
        <f t="shared" ca="1" si="1"/>
        <v>INFANTIL B</v>
      </c>
      <c r="M19" s="26">
        <v>1</v>
      </c>
    </row>
    <row r="20" spans="1:13" ht="26.4" x14ac:dyDescent="0.3">
      <c r="A20" s="23" t="s">
        <v>346</v>
      </c>
      <c r="B20" s="24" t="s">
        <v>428</v>
      </c>
      <c r="C20" s="24">
        <v>1851820520</v>
      </c>
      <c r="D20" s="25">
        <v>44908</v>
      </c>
      <c r="E20" s="24" t="s">
        <v>16</v>
      </c>
      <c r="F20" s="24" t="s">
        <v>49</v>
      </c>
      <c r="G20" s="24" t="s">
        <v>238</v>
      </c>
      <c r="H20" s="24" t="s">
        <v>76</v>
      </c>
      <c r="I20" s="24" t="s">
        <v>429</v>
      </c>
      <c r="J20" s="24">
        <v>962223494</v>
      </c>
      <c r="K20" s="26">
        <f t="shared" ca="1" si="0"/>
        <v>3</v>
      </c>
      <c r="L20" s="27" t="str">
        <f t="shared" ca="1" si="1"/>
        <v>INFANTIL A</v>
      </c>
      <c r="M20" s="26">
        <v>1</v>
      </c>
    </row>
    <row r="21" spans="1:13" x14ac:dyDescent="0.3">
      <c r="A21" s="23" t="s">
        <v>347</v>
      </c>
      <c r="B21" s="28" t="s">
        <v>445</v>
      </c>
      <c r="C21" s="28">
        <v>1805182036</v>
      </c>
      <c r="D21" s="37">
        <v>42683</v>
      </c>
      <c r="E21" s="24" t="s">
        <v>16</v>
      </c>
      <c r="F21" s="38" t="s">
        <v>49</v>
      </c>
      <c r="G21" s="24" t="s">
        <v>238</v>
      </c>
      <c r="H21" s="38" t="s">
        <v>76</v>
      </c>
      <c r="I21" s="28"/>
      <c r="J21" s="28">
        <v>962150008</v>
      </c>
      <c r="K21" s="26">
        <f t="shared" ca="1" si="0"/>
        <v>9</v>
      </c>
      <c r="L21" s="27" t="str">
        <f t="shared" ca="1" si="1"/>
        <v>INFANTIL B</v>
      </c>
      <c r="M21" s="26">
        <v>1</v>
      </c>
    </row>
    <row r="22" spans="1:13" ht="28.8" x14ac:dyDescent="0.3">
      <c r="A22" s="23" t="s">
        <v>348</v>
      </c>
      <c r="B22" s="48" t="s">
        <v>447</v>
      </c>
      <c r="C22" s="48">
        <v>1650261660</v>
      </c>
      <c r="D22" s="49">
        <v>43137</v>
      </c>
      <c r="E22" s="24" t="s">
        <v>16</v>
      </c>
      <c r="F22" s="48" t="s">
        <v>49</v>
      </c>
      <c r="G22" s="24" t="s">
        <v>238</v>
      </c>
      <c r="H22" s="48" t="s">
        <v>76</v>
      </c>
      <c r="I22" s="48" t="s">
        <v>448</v>
      </c>
      <c r="J22" s="48">
        <v>998961846</v>
      </c>
      <c r="K22" s="48">
        <f t="shared" ca="1" si="0"/>
        <v>7</v>
      </c>
      <c r="L22" s="49" t="str">
        <f t="shared" ca="1" si="1"/>
        <v>INFANTIL A</v>
      </c>
      <c r="M22" s="48">
        <v>1</v>
      </c>
    </row>
    <row r="23" spans="1:13" ht="39.6" x14ac:dyDescent="0.3">
      <c r="A23" s="23" t="s">
        <v>349</v>
      </c>
      <c r="B23" s="24" t="s">
        <v>458</v>
      </c>
      <c r="C23" s="24">
        <v>1851665339</v>
      </c>
      <c r="D23" s="25">
        <v>44163</v>
      </c>
      <c r="E23" s="24" t="s">
        <v>16</v>
      </c>
      <c r="F23" s="24" t="s">
        <v>49</v>
      </c>
      <c r="G23" s="24" t="s">
        <v>238</v>
      </c>
      <c r="H23" s="24" t="s">
        <v>76</v>
      </c>
      <c r="I23" s="24" t="s">
        <v>106</v>
      </c>
      <c r="J23" s="24">
        <v>982168555</v>
      </c>
      <c r="K23" s="48">
        <f t="shared" ref="K23:K26" ca="1" si="2">YEAR(TODAY())-YEAR(D23)</f>
        <v>5</v>
      </c>
      <c r="L23" s="49" t="str">
        <f t="shared" ref="L23:L26" ca="1" si="3">IF(K23&lt;9,"INFANTIL A","INFANTIL B")</f>
        <v>INFANTIL A</v>
      </c>
      <c r="M23" s="48">
        <v>1</v>
      </c>
    </row>
    <row r="24" spans="1:13" x14ac:dyDescent="0.3">
      <c r="A24" s="23" t="s">
        <v>350</v>
      </c>
      <c r="B24" s="28" t="s">
        <v>467</v>
      </c>
      <c r="C24" s="28">
        <v>1851538270</v>
      </c>
      <c r="D24" s="37">
        <v>43620</v>
      </c>
      <c r="E24" s="28" t="s">
        <v>35</v>
      </c>
      <c r="F24" s="38" t="s">
        <v>49</v>
      </c>
      <c r="G24" s="38"/>
      <c r="H24" s="38" t="s">
        <v>76</v>
      </c>
      <c r="I24" s="58" t="s">
        <v>62</v>
      </c>
      <c r="J24" s="28"/>
      <c r="K24" s="48">
        <f t="shared" ca="1" si="2"/>
        <v>6</v>
      </c>
      <c r="L24" s="28" t="str">
        <f t="shared" ca="1" si="3"/>
        <v>INFANTIL A</v>
      </c>
      <c r="M24" s="26">
        <v>1</v>
      </c>
    </row>
    <row r="25" spans="1:13" x14ac:dyDescent="0.3">
      <c r="A25" s="23" t="s">
        <v>351</v>
      </c>
      <c r="B25" s="28" t="s">
        <v>475</v>
      </c>
      <c r="C25" s="28">
        <v>1851587565</v>
      </c>
      <c r="D25" s="37">
        <v>43820</v>
      </c>
      <c r="E25" s="28" t="s">
        <v>16</v>
      </c>
      <c r="F25" s="38" t="s">
        <v>49</v>
      </c>
      <c r="G25" s="38"/>
      <c r="H25" s="38" t="s">
        <v>76</v>
      </c>
      <c r="I25" s="28"/>
      <c r="J25" s="28">
        <v>998816588</v>
      </c>
      <c r="K25" s="48">
        <f t="shared" ca="1" si="2"/>
        <v>6</v>
      </c>
      <c r="L25" s="28" t="str">
        <f t="shared" ca="1" si="3"/>
        <v>INFANTIL A</v>
      </c>
      <c r="M25" s="26">
        <v>1</v>
      </c>
    </row>
    <row r="26" spans="1:13" x14ac:dyDescent="0.3">
      <c r="B26" s="64" t="s">
        <v>476</v>
      </c>
      <c r="C26" s="38"/>
      <c r="D26" s="65">
        <v>42863</v>
      </c>
      <c r="E26" s="38"/>
      <c r="F26" s="38"/>
      <c r="G26" s="38"/>
      <c r="H26" s="38" t="s">
        <v>76</v>
      </c>
      <c r="I26" s="38"/>
      <c r="J26" s="38"/>
      <c r="K26" s="48">
        <f t="shared" ca="1" si="2"/>
        <v>8</v>
      </c>
      <c r="L26" s="28" t="str">
        <f t="shared" ca="1" si="3"/>
        <v>INFANTIL A</v>
      </c>
      <c r="M26" s="26">
        <v>1</v>
      </c>
    </row>
    <row r="27" spans="1:13" hidden="1" x14ac:dyDescent="0.3">
      <c r="M27" s="20">
        <f>SUM(M4:M26)</f>
        <v>23</v>
      </c>
    </row>
  </sheetData>
  <autoFilter ref="A3:N27" xr:uid="{44916550-BC60-40C9-BB69-3D47E5C05C0B}">
    <filterColumn colId="7">
      <filters>
        <filter val="XS"/>
      </filters>
    </filterColumn>
  </autoFilter>
  <phoneticPr fontId="9" type="noConversion"/>
  <hyperlinks>
    <hyperlink ref="I24" r:id="rId1" xr:uid="{CB34D1C6-D414-4E82-877D-25ACD8AE92F8}"/>
  </hyperlinks>
  <pageMargins left="0.7" right="0.7" top="0.75" bottom="0.75" header="0.3" footer="0.3"/>
  <pageSetup paperSize="9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3FD5-4170-4D4C-9202-B24537A688FD}">
  <dimension ref="A2:O145"/>
  <sheetViews>
    <sheetView tabSelected="1" topLeftCell="B136" zoomScale="77" zoomScaleNormal="77" workbookViewId="0">
      <selection activeCell="C19" sqref="C19"/>
    </sheetView>
  </sheetViews>
  <sheetFormatPr baseColWidth="10" defaultRowHeight="14.4" x14ac:dyDescent="0.3"/>
  <cols>
    <col min="1" max="1" width="3.77734375" hidden="1" customWidth="1"/>
    <col min="2" max="2" width="15" customWidth="1"/>
    <col min="3" max="3" width="23.77734375" customWidth="1"/>
    <col min="4" max="4" width="17.88671875" customWidth="1"/>
    <col min="8" max="8" width="0" hidden="1" customWidth="1"/>
    <col min="11" max="11" width="13.6640625" customWidth="1"/>
    <col min="12" max="12" width="16.44140625" customWidth="1"/>
    <col min="13" max="13" width="21.44140625" customWidth="1"/>
  </cols>
  <sheetData>
    <row r="2" spans="1:15" ht="15" thickBot="1" x14ac:dyDescent="0.35">
      <c r="L2" s="19"/>
    </row>
    <row r="3" spans="1:15" ht="27.6" x14ac:dyDescent="0.3">
      <c r="B3" s="51" t="s">
        <v>2</v>
      </c>
      <c r="C3" s="51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H3" s="51" t="s">
        <v>8</v>
      </c>
      <c r="I3" s="51" t="s">
        <v>9</v>
      </c>
      <c r="J3" s="51" t="s">
        <v>10</v>
      </c>
      <c r="K3" s="51" t="s">
        <v>11</v>
      </c>
      <c r="L3" s="18" t="s">
        <v>264</v>
      </c>
      <c r="M3" s="18" t="s">
        <v>265</v>
      </c>
    </row>
    <row r="4" spans="1:15" ht="41.4" x14ac:dyDescent="0.3">
      <c r="A4">
        <v>1</v>
      </c>
      <c r="B4" s="40">
        <v>45956.907581018517</v>
      </c>
      <c r="C4" s="41" t="s">
        <v>15</v>
      </c>
      <c r="D4" s="41">
        <v>1600746596</v>
      </c>
      <c r="E4" s="42">
        <v>37947</v>
      </c>
      <c r="F4" s="41" t="s">
        <v>16</v>
      </c>
      <c r="G4" s="41" t="s">
        <v>17</v>
      </c>
      <c r="H4" s="41" t="s">
        <v>18</v>
      </c>
      <c r="I4" s="41" t="s">
        <v>19</v>
      </c>
      <c r="J4" s="41" t="s">
        <v>20</v>
      </c>
      <c r="K4" s="41">
        <v>996364781</v>
      </c>
      <c r="L4" s="26">
        <f t="shared" ref="L4:L35" ca="1" si="0">YEAR(TODAY())-YEAR(E4)</f>
        <v>22</v>
      </c>
      <c r="M4" s="27" t="str">
        <f t="shared" ref="M4:M68" ca="1" si="1">IF(L4&lt;21,"JUVENIL",IF(L4&lt;31,"MASTER A",IF(L4&lt;41,"MASTER B","MASTER C")))</f>
        <v>MASTER A</v>
      </c>
      <c r="N4" s="26">
        <v>1</v>
      </c>
    </row>
    <row r="5" spans="1:15" ht="27.6" x14ac:dyDescent="0.3">
      <c r="A5">
        <v>2</v>
      </c>
      <c r="B5" s="40">
        <v>45962.91646990741</v>
      </c>
      <c r="C5" s="41" t="s">
        <v>27</v>
      </c>
      <c r="D5" s="41">
        <v>601379076</v>
      </c>
      <c r="E5" s="42">
        <v>21141</v>
      </c>
      <c r="F5" s="41" t="s">
        <v>16</v>
      </c>
      <c r="G5" s="41" t="s">
        <v>17</v>
      </c>
      <c r="H5" s="41" t="s">
        <v>28</v>
      </c>
      <c r="I5" s="41" t="s">
        <v>19</v>
      </c>
      <c r="J5" s="41" t="s">
        <v>29</v>
      </c>
      <c r="K5" s="41">
        <v>962233825</v>
      </c>
      <c r="L5" s="26">
        <f t="shared" ca="1" si="0"/>
        <v>68</v>
      </c>
      <c r="M5" s="27" t="str">
        <f t="shared" ca="1" si="1"/>
        <v>MASTER C</v>
      </c>
      <c r="N5" s="26">
        <v>1</v>
      </c>
    </row>
    <row r="6" spans="1:15" ht="27.6" x14ac:dyDescent="0.3">
      <c r="A6">
        <v>3</v>
      </c>
      <c r="B6" s="40">
        <v>45967.929872685185</v>
      </c>
      <c r="C6" s="41" t="s">
        <v>32</v>
      </c>
      <c r="D6" s="41">
        <v>1804087391</v>
      </c>
      <c r="E6" s="42">
        <v>32274</v>
      </c>
      <c r="F6" s="41" t="s">
        <v>16</v>
      </c>
      <c r="G6" s="41" t="s">
        <v>17</v>
      </c>
      <c r="H6" s="41" t="s">
        <v>18</v>
      </c>
      <c r="I6" s="41" t="s">
        <v>25</v>
      </c>
      <c r="J6" s="41" t="s">
        <v>33</v>
      </c>
      <c r="K6" s="41">
        <v>982442662</v>
      </c>
      <c r="L6" s="26">
        <f t="shared" ca="1" si="0"/>
        <v>37</v>
      </c>
      <c r="M6" s="27" t="str">
        <f t="shared" ca="1" si="1"/>
        <v>MASTER B</v>
      </c>
      <c r="N6" s="26">
        <v>1</v>
      </c>
    </row>
    <row r="7" spans="1:15" ht="27.6" x14ac:dyDescent="0.3">
      <c r="A7">
        <v>5</v>
      </c>
      <c r="B7" s="43">
        <v>45968.646331018521</v>
      </c>
      <c r="C7" s="44" t="s">
        <v>38</v>
      </c>
      <c r="D7" s="44">
        <v>1002829727</v>
      </c>
      <c r="E7" s="45">
        <v>29669</v>
      </c>
      <c r="F7" s="44" t="s">
        <v>16</v>
      </c>
      <c r="G7" s="44" t="s">
        <v>17</v>
      </c>
      <c r="H7" s="44" t="s">
        <v>28</v>
      </c>
      <c r="I7" s="44" t="s">
        <v>19</v>
      </c>
      <c r="J7" s="44" t="s">
        <v>39</v>
      </c>
      <c r="K7" s="44">
        <v>988204932</v>
      </c>
      <c r="L7" s="26">
        <f t="shared" ca="1" si="0"/>
        <v>44</v>
      </c>
      <c r="M7" s="27" t="str">
        <f t="shared" ca="1" si="1"/>
        <v>MASTER C</v>
      </c>
      <c r="N7" s="26">
        <v>1</v>
      </c>
    </row>
    <row r="8" spans="1:15" ht="27.6" x14ac:dyDescent="0.3">
      <c r="A8">
        <v>6</v>
      </c>
      <c r="B8" s="43">
        <v>45971.910057870373</v>
      </c>
      <c r="C8" s="44" t="s">
        <v>43</v>
      </c>
      <c r="D8" s="44">
        <v>1805725536</v>
      </c>
      <c r="E8" s="45">
        <v>40068</v>
      </c>
      <c r="F8" s="44" t="s">
        <v>16</v>
      </c>
      <c r="G8" s="44" t="s">
        <v>17</v>
      </c>
      <c r="H8" s="44" t="s">
        <v>44</v>
      </c>
      <c r="I8" s="44" t="s">
        <v>19</v>
      </c>
      <c r="J8" s="44" t="s">
        <v>45</v>
      </c>
      <c r="K8" s="44">
        <v>963350496</v>
      </c>
      <c r="L8" s="26">
        <f t="shared" ca="1" si="0"/>
        <v>16</v>
      </c>
      <c r="M8" s="27" t="str">
        <f t="shared" ca="1" si="1"/>
        <v>JUVENIL</v>
      </c>
      <c r="N8" s="26">
        <v>1</v>
      </c>
    </row>
    <row r="9" spans="1:15" ht="55.2" x14ac:dyDescent="0.3">
      <c r="A9">
        <v>7</v>
      </c>
      <c r="B9" s="40">
        <v>45972.917060185187</v>
      </c>
      <c r="C9" s="41" t="s">
        <v>46</v>
      </c>
      <c r="D9" s="41">
        <v>259330198</v>
      </c>
      <c r="E9" s="42">
        <v>37506</v>
      </c>
      <c r="F9" s="41" t="s">
        <v>16</v>
      </c>
      <c r="G9" s="41" t="s">
        <v>17</v>
      </c>
      <c r="H9" s="41"/>
      <c r="I9" s="41" t="s">
        <v>36</v>
      </c>
      <c r="J9" s="41" t="s">
        <v>47</v>
      </c>
      <c r="K9" s="41">
        <v>998344067</v>
      </c>
      <c r="L9" s="26">
        <f t="shared" ca="1" si="0"/>
        <v>23</v>
      </c>
      <c r="M9" s="27" t="str">
        <f t="shared" ca="1" si="1"/>
        <v>MASTER A</v>
      </c>
      <c r="N9" s="26">
        <v>1</v>
      </c>
    </row>
    <row r="10" spans="1:15" ht="27.6" x14ac:dyDescent="0.3">
      <c r="A10">
        <v>11</v>
      </c>
      <c r="B10" s="40">
        <v>45975.556250000001</v>
      </c>
      <c r="C10" s="41" t="s">
        <v>55</v>
      </c>
      <c r="D10" s="41">
        <v>1805137138</v>
      </c>
      <c r="E10" s="42">
        <v>35929</v>
      </c>
      <c r="F10" s="41" t="s">
        <v>16</v>
      </c>
      <c r="G10" s="41" t="s">
        <v>17</v>
      </c>
      <c r="H10" s="41" t="s">
        <v>18</v>
      </c>
      <c r="I10" s="41" t="s">
        <v>25</v>
      </c>
      <c r="J10" s="41" t="s">
        <v>56</v>
      </c>
      <c r="K10" s="41">
        <v>987448603</v>
      </c>
      <c r="L10" s="26">
        <f t="shared" ca="1" si="0"/>
        <v>27</v>
      </c>
      <c r="M10" s="27" t="str">
        <f t="shared" ca="1" si="1"/>
        <v>MASTER A</v>
      </c>
      <c r="N10" s="26">
        <v>1</v>
      </c>
    </row>
    <row r="11" spans="1:15" ht="41.4" x14ac:dyDescent="0.3">
      <c r="A11">
        <v>12</v>
      </c>
      <c r="B11" s="43">
        <v>45975.635706018518</v>
      </c>
      <c r="C11" s="44" t="s">
        <v>208</v>
      </c>
      <c r="D11" s="44">
        <v>1722361308</v>
      </c>
      <c r="E11" s="45">
        <v>31972</v>
      </c>
      <c r="F11" s="44" t="s">
        <v>16</v>
      </c>
      <c r="G11" s="44" t="s">
        <v>17</v>
      </c>
      <c r="H11" s="44" t="s">
        <v>18</v>
      </c>
      <c r="I11" s="44" t="s">
        <v>36</v>
      </c>
      <c r="J11" s="44" t="s">
        <v>58</v>
      </c>
      <c r="K11" s="44">
        <v>987707504</v>
      </c>
      <c r="L11" s="26">
        <f t="shared" ca="1" si="0"/>
        <v>38</v>
      </c>
      <c r="M11" s="27" t="str">
        <f t="shared" ca="1" si="1"/>
        <v>MASTER B</v>
      </c>
      <c r="N11" s="26">
        <v>1</v>
      </c>
    </row>
    <row r="12" spans="1:15" ht="27.6" x14ac:dyDescent="0.3">
      <c r="A12">
        <v>13</v>
      </c>
      <c r="B12" s="40">
        <v>45975.636770833335</v>
      </c>
      <c r="C12" s="41" t="s">
        <v>59</v>
      </c>
      <c r="D12" s="41">
        <v>1802308310</v>
      </c>
      <c r="E12" s="42">
        <v>23065</v>
      </c>
      <c r="F12" s="41" t="s">
        <v>35</v>
      </c>
      <c r="G12" s="41" t="s">
        <v>17</v>
      </c>
      <c r="H12" s="41" t="s">
        <v>28</v>
      </c>
      <c r="I12" s="41" t="s">
        <v>19</v>
      </c>
      <c r="J12" s="41" t="s">
        <v>60</v>
      </c>
      <c r="K12" s="41">
        <v>998215547</v>
      </c>
      <c r="L12" s="26">
        <f t="shared" ca="1" si="0"/>
        <v>62</v>
      </c>
      <c r="M12" s="27" t="str">
        <f t="shared" ca="1" si="1"/>
        <v>MASTER C</v>
      </c>
      <c r="N12" s="26">
        <v>1</v>
      </c>
    </row>
    <row r="13" spans="1:15" ht="41.4" x14ac:dyDescent="0.3">
      <c r="A13">
        <v>14</v>
      </c>
      <c r="B13" s="40">
        <v>45977.549097222225</v>
      </c>
      <c r="C13" s="41" t="s">
        <v>63</v>
      </c>
      <c r="D13" s="41">
        <v>1805291448</v>
      </c>
      <c r="E13" s="42">
        <v>36225</v>
      </c>
      <c r="F13" s="41" t="s">
        <v>16</v>
      </c>
      <c r="G13" s="41" t="s">
        <v>17</v>
      </c>
      <c r="H13" s="41" t="s">
        <v>18</v>
      </c>
      <c r="I13" s="41" t="s">
        <v>19</v>
      </c>
      <c r="J13" s="41" t="s">
        <v>64</v>
      </c>
      <c r="K13" s="41">
        <v>995045013</v>
      </c>
      <c r="L13" s="26">
        <f t="shared" ca="1" si="0"/>
        <v>26</v>
      </c>
      <c r="M13" s="27" t="str">
        <f t="shared" ca="1" si="1"/>
        <v>MASTER A</v>
      </c>
      <c r="N13" s="26">
        <v>1</v>
      </c>
    </row>
    <row r="14" spans="1:15" ht="27.6" x14ac:dyDescent="0.3">
      <c r="A14">
        <v>15</v>
      </c>
      <c r="B14" s="43">
        <v>45977.902962962966</v>
      </c>
      <c r="C14" s="44" t="s">
        <v>65</v>
      </c>
      <c r="D14" s="44">
        <v>1600176919</v>
      </c>
      <c r="E14" s="45">
        <v>23127</v>
      </c>
      <c r="F14" s="44" t="s">
        <v>16</v>
      </c>
      <c r="G14" s="44" t="s">
        <v>17</v>
      </c>
      <c r="H14" s="44" t="s">
        <v>28</v>
      </c>
      <c r="I14" s="44" t="s">
        <v>19</v>
      </c>
      <c r="J14" s="44" t="s">
        <v>66</v>
      </c>
      <c r="K14" s="44">
        <v>981672043</v>
      </c>
      <c r="L14" s="26">
        <f t="shared" ca="1" si="0"/>
        <v>62</v>
      </c>
      <c r="M14" s="27" t="str">
        <f t="shared" ca="1" si="1"/>
        <v>MASTER C</v>
      </c>
      <c r="N14" s="26">
        <v>1</v>
      </c>
    </row>
    <row r="15" spans="1:15" ht="27.6" x14ac:dyDescent="0.3">
      <c r="A15">
        <v>16</v>
      </c>
      <c r="B15" s="40">
        <v>45978.837719907409</v>
      </c>
      <c r="C15" s="41" t="s">
        <v>67</v>
      </c>
      <c r="D15" s="41">
        <v>550610935</v>
      </c>
      <c r="E15" s="42">
        <v>35756</v>
      </c>
      <c r="F15" s="41" t="s">
        <v>16</v>
      </c>
      <c r="G15" s="41" t="s">
        <v>17</v>
      </c>
      <c r="H15" s="41" t="s">
        <v>18</v>
      </c>
      <c r="I15" s="41" t="s">
        <v>25</v>
      </c>
      <c r="J15" s="41" t="s">
        <v>68</v>
      </c>
      <c r="K15" s="41">
        <v>984446176</v>
      </c>
      <c r="L15" s="26">
        <f t="shared" ca="1" si="0"/>
        <v>28</v>
      </c>
      <c r="M15" s="27" t="str">
        <f t="shared" ca="1" si="1"/>
        <v>MASTER A</v>
      </c>
      <c r="N15" s="26">
        <v>1</v>
      </c>
    </row>
    <row r="16" spans="1:15" ht="27.6" x14ac:dyDescent="0.3">
      <c r="A16">
        <v>17</v>
      </c>
      <c r="B16" s="43">
        <v>45980.601319444446</v>
      </c>
      <c r="C16" s="52" t="s">
        <v>73</v>
      </c>
      <c r="D16" s="44">
        <v>1803991858</v>
      </c>
      <c r="E16" s="45">
        <v>33794</v>
      </c>
      <c r="F16" s="44" t="s">
        <v>16</v>
      </c>
      <c r="G16" s="44" t="s">
        <v>17</v>
      </c>
      <c r="H16" s="44" t="s">
        <v>18</v>
      </c>
      <c r="I16" s="44" t="s">
        <v>19</v>
      </c>
      <c r="J16" s="44" t="s">
        <v>74</v>
      </c>
      <c r="K16" s="44">
        <v>992985206</v>
      </c>
      <c r="L16" s="26">
        <f t="shared" ca="1" si="0"/>
        <v>33</v>
      </c>
      <c r="M16" s="27" t="str">
        <f t="shared" ca="1" si="1"/>
        <v>MASTER B</v>
      </c>
      <c r="N16" s="26">
        <v>1</v>
      </c>
      <c r="O16" t="s">
        <v>365</v>
      </c>
    </row>
    <row r="17" spans="1:15" ht="41.4" x14ac:dyDescent="0.3">
      <c r="A17">
        <v>18</v>
      </c>
      <c r="B17" s="40">
        <v>45980.711875000001</v>
      </c>
      <c r="C17" s="53" t="s">
        <v>75</v>
      </c>
      <c r="D17" s="41">
        <v>1804263695</v>
      </c>
      <c r="E17" s="42">
        <v>32758</v>
      </c>
      <c r="F17" s="41" t="s">
        <v>35</v>
      </c>
      <c r="G17" s="41" t="s">
        <v>17</v>
      </c>
      <c r="H17" s="41" t="s">
        <v>18</v>
      </c>
      <c r="I17" s="41" t="s">
        <v>76</v>
      </c>
      <c r="J17" s="41" t="s">
        <v>77</v>
      </c>
      <c r="K17" s="41">
        <v>995816368</v>
      </c>
      <c r="L17" s="26">
        <f t="shared" ca="1" si="0"/>
        <v>36</v>
      </c>
      <c r="M17" s="27" t="str">
        <f t="shared" ca="1" si="1"/>
        <v>MASTER B</v>
      </c>
      <c r="N17" s="26">
        <v>1</v>
      </c>
      <c r="O17" t="s">
        <v>365</v>
      </c>
    </row>
    <row r="18" spans="1:15" ht="41.4" x14ac:dyDescent="0.3">
      <c r="A18">
        <v>20</v>
      </c>
      <c r="B18" s="40">
        <v>45980.92800925926</v>
      </c>
      <c r="C18" s="53" t="s">
        <v>78</v>
      </c>
      <c r="D18" s="41">
        <v>1804711115</v>
      </c>
      <c r="E18" s="42">
        <v>33848</v>
      </c>
      <c r="F18" s="41" t="s">
        <v>16</v>
      </c>
      <c r="G18" s="41" t="s">
        <v>17</v>
      </c>
      <c r="H18" s="41" t="s">
        <v>18</v>
      </c>
      <c r="I18" s="41" t="s">
        <v>25</v>
      </c>
      <c r="J18" s="41" t="s">
        <v>79</v>
      </c>
      <c r="K18" s="41">
        <v>987417045</v>
      </c>
      <c r="L18" s="26">
        <f t="shared" ca="1" si="0"/>
        <v>33</v>
      </c>
      <c r="M18" s="27" t="str">
        <f t="shared" ca="1" si="1"/>
        <v>MASTER B</v>
      </c>
      <c r="N18" s="26">
        <v>1</v>
      </c>
      <c r="O18" t="s">
        <v>365</v>
      </c>
    </row>
    <row r="19" spans="1:15" ht="41.4" x14ac:dyDescent="0.3">
      <c r="A19">
        <v>21</v>
      </c>
      <c r="B19" s="43">
        <v>45981.348877314813</v>
      </c>
      <c r="C19" s="44" t="s">
        <v>209</v>
      </c>
      <c r="D19" s="44">
        <v>1850690940</v>
      </c>
      <c r="E19" s="45">
        <v>39890</v>
      </c>
      <c r="F19" s="44" t="s">
        <v>16</v>
      </c>
      <c r="G19" s="44" t="s">
        <v>17</v>
      </c>
      <c r="H19" s="44" t="s">
        <v>44</v>
      </c>
      <c r="I19" s="44" t="s">
        <v>25</v>
      </c>
      <c r="J19" s="44" t="s">
        <v>81</v>
      </c>
      <c r="K19" s="44">
        <v>960670801</v>
      </c>
      <c r="L19" s="26">
        <f t="shared" ca="1" si="0"/>
        <v>16</v>
      </c>
      <c r="M19" s="27" t="str">
        <f t="shared" ca="1" si="1"/>
        <v>JUVENIL</v>
      </c>
      <c r="N19" s="26">
        <v>1</v>
      </c>
    </row>
    <row r="20" spans="1:15" ht="41.4" x14ac:dyDescent="0.3">
      <c r="A20">
        <v>22</v>
      </c>
      <c r="B20" s="43">
        <v>45982.699733796297</v>
      </c>
      <c r="C20" s="44" t="s">
        <v>86</v>
      </c>
      <c r="D20" s="44">
        <v>1804943510</v>
      </c>
      <c r="E20" s="45">
        <v>35232</v>
      </c>
      <c r="F20" s="44" t="s">
        <v>16</v>
      </c>
      <c r="G20" s="44" t="s">
        <v>17</v>
      </c>
      <c r="H20" s="44" t="s">
        <v>18</v>
      </c>
      <c r="I20" s="44" t="s">
        <v>19</v>
      </c>
      <c r="J20" s="44" t="s">
        <v>87</v>
      </c>
      <c r="K20" s="44">
        <v>998463414</v>
      </c>
      <c r="L20" s="26">
        <f t="shared" ca="1" si="0"/>
        <v>29</v>
      </c>
      <c r="M20" s="27" t="str">
        <f t="shared" ca="1" si="1"/>
        <v>MASTER A</v>
      </c>
      <c r="N20" s="26">
        <v>1</v>
      </c>
    </row>
    <row r="21" spans="1:15" ht="41.4" x14ac:dyDescent="0.3">
      <c r="A21">
        <v>23</v>
      </c>
      <c r="B21" s="40">
        <v>45982.842893518522</v>
      </c>
      <c r="C21" s="41" t="s">
        <v>88</v>
      </c>
      <c r="D21" s="41">
        <v>504120189</v>
      </c>
      <c r="E21" s="42">
        <v>38068</v>
      </c>
      <c r="F21" s="41" t="s">
        <v>16</v>
      </c>
      <c r="G21" s="41" t="s">
        <v>17</v>
      </c>
      <c r="H21" s="41" t="s">
        <v>18</v>
      </c>
      <c r="I21" s="41" t="s">
        <v>36</v>
      </c>
      <c r="J21" s="41" t="s">
        <v>89</v>
      </c>
      <c r="K21" s="41">
        <v>960516146</v>
      </c>
      <c r="L21" s="26">
        <f t="shared" ca="1" si="0"/>
        <v>21</v>
      </c>
      <c r="M21" s="27" t="str">
        <f t="shared" ca="1" si="1"/>
        <v>MASTER A</v>
      </c>
      <c r="N21" s="26">
        <v>1</v>
      </c>
    </row>
    <row r="22" spans="1:15" ht="27.6" x14ac:dyDescent="0.3">
      <c r="A22">
        <v>24</v>
      </c>
      <c r="B22" s="43">
        <v>45985.404363425929</v>
      </c>
      <c r="C22" s="44" t="s">
        <v>90</v>
      </c>
      <c r="D22" s="44">
        <v>1804715298</v>
      </c>
      <c r="E22" s="45">
        <v>32867</v>
      </c>
      <c r="F22" s="44" t="s">
        <v>16</v>
      </c>
      <c r="G22" s="44" t="s">
        <v>17</v>
      </c>
      <c r="H22" s="44" t="s">
        <v>18</v>
      </c>
      <c r="I22" s="44" t="s">
        <v>25</v>
      </c>
      <c r="J22" s="44" t="s">
        <v>91</v>
      </c>
      <c r="K22" s="44">
        <v>998971042</v>
      </c>
      <c r="L22" s="26">
        <f t="shared" ca="1" si="0"/>
        <v>36</v>
      </c>
      <c r="M22" s="27" t="str">
        <f t="shared" ca="1" si="1"/>
        <v>MASTER B</v>
      </c>
      <c r="N22" s="26">
        <v>1</v>
      </c>
    </row>
    <row r="23" spans="1:15" ht="27.6" x14ac:dyDescent="0.3">
      <c r="A23">
        <v>25</v>
      </c>
      <c r="B23" s="43">
        <v>45985.489849537036</v>
      </c>
      <c r="C23" s="44" t="s">
        <v>94</v>
      </c>
      <c r="D23" s="44">
        <v>1650118977</v>
      </c>
      <c r="E23" s="45">
        <v>39906</v>
      </c>
      <c r="F23" s="44" t="s">
        <v>16</v>
      </c>
      <c r="G23" s="44" t="s">
        <v>17</v>
      </c>
      <c r="H23" s="44" t="s">
        <v>44</v>
      </c>
      <c r="I23" s="44" t="s">
        <v>25</v>
      </c>
      <c r="J23" s="44" t="s">
        <v>95</v>
      </c>
      <c r="K23" s="44">
        <v>982365439</v>
      </c>
      <c r="L23" s="26">
        <f t="shared" ca="1" si="0"/>
        <v>16</v>
      </c>
      <c r="M23" s="27" t="str">
        <f t="shared" ca="1" si="1"/>
        <v>JUVENIL</v>
      </c>
      <c r="N23" s="26">
        <v>1</v>
      </c>
    </row>
    <row r="24" spans="1:15" ht="27.6" x14ac:dyDescent="0.3">
      <c r="A24">
        <v>26</v>
      </c>
      <c r="B24" s="40">
        <v>45985.491446759261</v>
      </c>
      <c r="C24" s="41" t="s">
        <v>96</v>
      </c>
      <c r="D24" s="41">
        <v>1600768210</v>
      </c>
      <c r="E24" s="42">
        <v>38913</v>
      </c>
      <c r="F24" s="41" t="s">
        <v>16</v>
      </c>
      <c r="G24" s="41" t="s">
        <v>17</v>
      </c>
      <c r="H24" s="41" t="s">
        <v>44</v>
      </c>
      <c r="I24" s="41" t="s">
        <v>25</v>
      </c>
      <c r="J24" s="41" t="s">
        <v>95</v>
      </c>
      <c r="K24" s="41">
        <v>982365439</v>
      </c>
      <c r="L24" s="26">
        <f t="shared" ca="1" si="0"/>
        <v>19</v>
      </c>
      <c r="M24" s="27" t="str">
        <f t="shared" ca="1" si="1"/>
        <v>JUVENIL</v>
      </c>
      <c r="N24" s="26">
        <v>1</v>
      </c>
    </row>
    <row r="25" spans="1:15" ht="41.4" x14ac:dyDescent="0.3">
      <c r="A25">
        <v>27</v>
      </c>
      <c r="B25" s="43">
        <v>45985.496018518519</v>
      </c>
      <c r="C25" s="44" t="s">
        <v>97</v>
      </c>
      <c r="D25" s="44">
        <v>1850380591</v>
      </c>
      <c r="E25" s="45">
        <v>38733</v>
      </c>
      <c r="F25" s="44" t="s">
        <v>35</v>
      </c>
      <c r="G25" s="44" t="s">
        <v>17</v>
      </c>
      <c r="H25" s="44"/>
      <c r="I25" s="44" t="s">
        <v>19</v>
      </c>
      <c r="J25" s="44" t="s">
        <v>98</v>
      </c>
      <c r="K25" s="44">
        <v>962033886</v>
      </c>
      <c r="L25" s="26">
        <f t="shared" ca="1" si="0"/>
        <v>19</v>
      </c>
      <c r="M25" s="27" t="str">
        <f t="shared" ca="1" si="1"/>
        <v>JUVENIL</v>
      </c>
      <c r="N25" s="26">
        <v>1</v>
      </c>
    </row>
    <row r="26" spans="1:15" ht="27.6" x14ac:dyDescent="0.3">
      <c r="A26">
        <v>28</v>
      </c>
      <c r="B26" s="40">
        <v>45985.625567129631</v>
      </c>
      <c r="C26" s="41" t="s">
        <v>99</v>
      </c>
      <c r="D26" s="41">
        <v>1758299224</v>
      </c>
      <c r="E26" s="42">
        <v>36106</v>
      </c>
      <c r="F26" s="41" t="s">
        <v>35</v>
      </c>
      <c r="G26" s="41" t="s">
        <v>17</v>
      </c>
      <c r="H26" s="41" t="s">
        <v>18</v>
      </c>
      <c r="I26" s="41" t="s">
        <v>19</v>
      </c>
      <c r="J26" s="41" t="s">
        <v>100</v>
      </c>
      <c r="K26" s="41">
        <v>980972840</v>
      </c>
      <c r="L26" s="26">
        <f t="shared" ca="1" si="0"/>
        <v>27</v>
      </c>
      <c r="M26" s="27" t="str">
        <f t="shared" ca="1" si="1"/>
        <v>MASTER A</v>
      </c>
      <c r="N26" s="26">
        <v>1</v>
      </c>
    </row>
    <row r="27" spans="1:15" ht="41.4" x14ac:dyDescent="0.3">
      <c r="A27">
        <v>29</v>
      </c>
      <c r="B27" s="43">
        <v>45985.626539351855</v>
      </c>
      <c r="C27" s="44" t="s">
        <v>101</v>
      </c>
      <c r="D27" s="44">
        <v>1760635241</v>
      </c>
      <c r="E27" s="45">
        <v>34585</v>
      </c>
      <c r="F27" s="44" t="s">
        <v>35</v>
      </c>
      <c r="G27" s="44" t="s">
        <v>17</v>
      </c>
      <c r="H27" s="44" t="s">
        <v>18</v>
      </c>
      <c r="I27" s="44" t="s">
        <v>19</v>
      </c>
      <c r="J27" s="44" t="s">
        <v>102</v>
      </c>
      <c r="K27" s="44">
        <v>994774554</v>
      </c>
      <c r="L27" s="26">
        <f t="shared" ca="1" si="0"/>
        <v>31</v>
      </c>
      <c r="M27" s="27" t="str">
        <f t="shared" ca="1" si="1"/>
        <v>MASTER B</v>
      </c>
      <c r="N27" s="26">
        <v>1</v>
      </c>
    </row>
    <row r="28" spans="1:15" ht="27.6" x14ac:dyDescent="0.3">
      <c r="A28">
        <v>30</v>
      </c>
      <c r="B28" s="40">
        <v>45985.627245370371</v>
      </c>
      <c r="C28" s="41" t="s">
        <v>103</v>
      </c>
      <c r="D28" s="41">
        <v>1600831919</v>
      </c>
      <c r="E28" s="42">
        <v>34453</v>
      </c>
      <c r="F28" s="41" t="s">
        <v>16</v>
      </c>
      <c r="G28" s="41" t="s">
        <v>17</v>
      </c>
      <c r="H28" s="41" t="s">
        <v>18</v>
      </c>
      <c r="I28" s="41" t="s">
        <v>19</v>
      </c>
      <c r="J28" s="41" t="s">
        <v>104</v>
      </c>
      <c r="K28" s="41">
        <v>995664286</v>
      </c>
      <c r="L28" s="26">
        <f t="shared" ca="1" si="0"/>
        <v>31</v>
      </c>
      <c r="M28" s="27" t="str">
        <f t="shared" ca="1" si="1"/>
        <v>MASTER B</v>
      </c>
      <c r="N28" s="26">
        <v>1</v>
      </c>
    </row>
    <row r="29" spans="1:15" ht="41.4" x14ac:dyDescent="0.3">
      <c r="A29">
        <v>31</v>
      </c>
      <c r="B29" s="43">
        <v>45985.62804398148</v>
      </c>
      <c r="C29" s="44" t="s">
        <v>105</v>
      </c>
      <c r="D29" s="44">
        <v>1805081633</v>
      </c>
      <c r="E29" s="45">
        <v>35416</v>
      </c>
      <c r="F29" s="44" t="s">
        <v>35</v>
      </c>
      <c r="G29" s="44" t="s">
        <v>17</v>
      </c>
      <c r="H29" s="44" t="s">
        <v>18</v>
      </c>
      <c r="I29" s="44" t="s">
        <v>36</v>
      </c>
      <c r="J29" s="44" t="s">
        <v>106</v>
      </c>
      <c r="K29" s="44">
        <v>982168555</v>
      </c>
      <c r="L29" s="26">
        <f t="shared" ca="1" si="0"/>
        <v>29</v>
      </c>
      <c r="M29" s="27" t="str">
        <f t="shared" ca="1" si="1"/>
        <v>MASTER A</v>
      </c>
      <c r="N29" s="26">
        <v>1</v>
      </c>
    </row>
    <row r="30" spans="1:15" ht="27.6" x14ac:dyDescent="0.3">
      <c r="A30">
        <v>32</v>
      </c>
      <c r="B30" s="40">
        <v>45985.628784722219</v>
      </c>
      <c r="C30" s="41" t="s">
        <v>107</v>
      </c>
      <c r="D30" s="41">
        <v>1600525982</v>
      </c>
      <c r="E30" s="42">
        <v>33235</v>
      </c>
      <c r="F30" s="41" t="s">
        <v>16</v>
      </c>
      <c r="G30" s="41" t="s">
        <v>17</v>
      </c>
      <c r="H30" s="41" t="s">
        <v>18</v>
      </c>
      <c r="I30" s="41" t="s">
        <v>25</v>
      </c>
      <c r="J30" s="41" t="s">
        <v>108</v>
      </c>
      <c r="K30" s="41">
        <v>983184214</v>
      </c>
      <c r="L30" s="26">
        <f t="shared" ca="1" si="0"/>
        <v>35</v>
      </c>
      <c r="M30" s="27" t="str">
        <f t="shared" ca="1" si="1"/>
        <v>MASTER B</v>
      </c>
      <c r="N30" s="26">
        <v>1</v>
      </c>
    </row>
    <row r="31" spans="1:15" ht="27.6" x14ac:dyDescent="0.3">
      <c r="A31">
        <v>33</v>
      </c>
      <c r="B31" s="43">
        <v>45985.629479166666</v>
      </c>
      <c r="C31" s="44" t="s">
        <v>109</v>
      </c>
      <c r="D31" s="44">
        <v>1600623266</v>
      </c>
      <c r="E31" s="45">
        <v>33647</v>
      </c>
      <c r="F31" s="44" t="s">
        <v>16</v>
      </c>
      <c r="G31" s="44" t="s">
        <v>17</v>
      </c>
      <c r="H31" s="44" t="s">
        <v>18</v>
      </c>
      <c r="I31" s="44" t="s">
        <v>19</v>
      </c>
      <c r="J31" s="44" t="s">
        <v>110</v>
      </c>
      <c r="K31" s="44">
        <v>984830279</v>
      </c>
      <c r="L31" s="26">
        <f t="shared" ca="1" si="0"/>
        <v>33</v>
      </c>
      <c r="M31" s="27" t="str">
        <f t="shared" ca="1" si="1"/>
        <v>MASTER B</v>
      </c>
      <c r="N31" s="26">
        <v>1</v>
      </c>
    </row>
    <row r="32" spans="1:15" ht="27.6" x14ac:dyDescent="0.3">
      <c r="A32">
        <v>34</v>
      </c>
      <c r="B32" s="40">
        <v>45985.630243055559</v>
      </c>
      <c r="C32" s="41" t="s">
        <v>111</v>
      </c>
      <c r="D32" s="41">
        <v>1315078202</v>
      </c>
      <c r="E32" s="42">
        <v>34265</v>
      </c>
      <c r="F32" s="41" t="s">
        <v>16</v>
      </c>
      <c r="G32" s="41" t="s">
        <v>17</v>
      </c>
      <c r="H32" s="41" t="s">
        <v>18</v>
      </c>
      <c r="I32" s="41" t="s">
        <v>25</v>
      </c>
      <c r="J32" s="41" t="s">
        <v>112</v>
      </c>
      <c r="K32" s="41">
        <v>986156867</v>
      </c>
      <c r="L32" s="26">
        <f t="shared" ca="1" si="0"/>
        <v>32</v>
      </c>
      <c r="M32" s="27" t="str">
        <f t="shared" ca="1" si="1"/>
        <v>MASTER B</v>
      </c>
      <c r="N32" s="26">
        <v>1</v>
      </c>
    </row>
    <row r="33" spans="1:14" ht="41.4" x14ac:dyDescent="0.3">
      <c r="A33">
        <v>35</v>
      </c>
      <c r="B33" s="43">
        <v>45985.631099537037</v>
      </c>
      <c r="C33" s="44" t="s">
        <v>113</v>
      </c>
      <c r="D33" s="44">
        <v>703553776</v>
      </c>
      <c r="E33" s="45">
        <v>27884</v>
      </c>
      <c r="F33" s="44" t="s">
        <v>16</v>
      </c>
      <c r="G33" s="44" t="s">
        <v>17</v>
      </c>
      <c r="H33" s="44" t="s">
        <v>28</v>
      </c>
      <c r="I33" s="44" t="s">
        <v>19</v>
      </c>
      <c r="J33" s="44" t="s">
        <v>114</v>
      </c>
      <c r="K33" s="44">
        <v>984567909</v>
      </c>
      <c r="L33" s="26">
        <f t="shared" ca="1" si="0"/>
        <v>49</v>
      </c>
      <c r="M33" s="27" t="str">
        <f t="shared" ca="1" si="1"/>
        <v>MASTER C</v>
      </c>
      <c r="N33" s="26">
        <v>1</v>
      </c>
    </row>
    <row r="34" spans="1:14" ht="27.6" x14ac:dyDescent="0.3">
      <c r="A34">
        <v>36</v>
      </c>
      <c r="B34" s="40">
        <v>45985.632037037038</v>
      </c>
      <c r="C34" s="41" t="s">
        <v>115</v>
      </c>
      <c r="D34" s="41">
        <v>1718894817</v>
      </c>
      <c r="E34" s="42">
        <v>33188</v>
      </c>
      <c r="F34" s="41" t="s">
        <v>16</v>
      </c>
      <c r="G34" s="41" t="s">
        <v>17</v>
      </c>
      <c r="H34" s="41" t="s">
        <v>18</v>
      </c>
      <c r="I34" s="41" t="s">
        <v>25</v>
      </c>
      <c r="J34" s="41" t="s">
        <v>116</v>
      </c>
      <c r="K34" s="41">
        <v>983568588</v>
      </c>
      <c r="L34" s="26">
        <f t="shared" ca="1" si="0"/>
        <v>35</v>
      </c>
      <c r="M34" s="27" t="str">
        <f t="shared" ca="1" si="1"/>
        <v>MASTER B</v>
      </c>
      <c r="N34" s="26">
        <v>1</v>
      </c>
    </row>
    <row r="35" spans="1:14" ht="27.6" x14ac:dyDescent="0.3">
      <c r="A35">
        <v>37</v>
      </c>
      <c r="B35" s="43">
        <v>45985.645613425928</v>
      </c>
      <c r="C35" s="44" t="s">
        <v>117</v>
      </c>
      <c r="D35" s="44">
        <v>605797034</v>
      </c>
      <c r="E35" s="45">
        <v>38238</v>
      </c>
      <c r="F35" s="44" t="s">
        <v>16</v>
      </c>
      <c r="G35" s="44" t="s">
        <v>17</v>
      </c>
      <c r="H35" s="44" t="s">
        <v>18</v>
      </c>
      <c r="I35" s="44" t="s">
        <v>118</v>
      </c>
      <c r="J35" s="44" t="s">
        <v>119</v>
      </c>
      <c r="K35" s="44">
        <v>939919921</v>
      </c>
      <c r="L35" s="26">
        <f t="shared" ca="1" si="0"/>
        <v>21</v>
      </c>
      <c r="M35" s="27" t="str">
        <f t="shared" ca="1" si="1"/>
        <v>MASTER A</v>
      </c>
      <c r="N35" s="26">
        <v>1</v>
      </c>
    </row>
    <row r="36" spans="1:14" ht="27.6" x14ac:dyDescent="0.3">
      <c r="A36">
        <v>38</v>
      </c>
      <c r="B36" s="40">
        <v>45985.812557870369</v>
      </c>
      <c r="C36" s="41" t="s">
        <v>120</v>
      </c>
      <c r="D36" s="41">
        <v>1804619102</v>
      </c>
      <c r="E36" s="42">
        <v>35168</v>
      </c>
      <c r="F36" s="41" t="s">
        <v>16</v>
      </c>
      <c r="G36" s="41" t="s">
        <v>17</v>
      </c>
      <c r="H36" s="41" t="s">
        <v>18</v>
      </c>
      <c r="I36" s="41" t="s">
        <v>19</v>
      </c>
      <c r="J36" s="41" t="s">
        <v>121</v>
      </c>
      <c r="K36" s="41">
        <v>991824031</v>
      </c>
      <c r="L36" s="26">
        <f t="shared" ref="L36:L67" ca="1" si="2">YEAR(TODAY())-YEAR(E36)</f>
        <v>29</v>
      </c>
      <c r="M36" s="27" t="str">
        <f t="shared" ca="1" si="1"/>
        <v>MASTER A</v>
      </c>
      <c r="N36" s="26">
        <v>1</v>
      </c>
    </row>
    <row r="37" spans="1:14" ht="27.6" x14ac:dyDescent="0.3">
      <c r="A37">
        <v>39</v>
      </c>
      <c r="B37" s="40">
        <v>45985.875497685185</v>
      </c>
      <c r="C37" s="41" t="s">
        <v>124</v>
      </c>
      <c r="D37" s="41">
        <v>1650016056</v>
      </c>
      <c r="E37" s="42">
        <v>39086</v>
      </c>
      <c r="F37" s="41" t="s">
        <v>16</v>
      </c>
      <c r="G37" s="41" t="s">
        <v>17</v>
      </c>
      <c r="H37" s="41" t="s">
        <v>44</v>
      </c>
      <c r="I37" s="41" t="s">
        <v>19</v>
      </c>
      <c r="J37" s="41" t="s">
        <v>125</v>
      </c>
      <c r="K37" s="41">
        <v>993379093</v>
      </c>
      <c r="L37" s="26">
        <f t="shared" ca="1" si="2"/>
        <v>18</v>
      </c>
      <c r="M37" s="27" t="str">
        <f t="shared" ca="1" si="1"/>
        <v>JUVENIL</v>
      </c>
      <c r="N37" s="26">
        <v>1</v>
      </c>
    </row>
    <row r="38" spans="1:14" ht="41.4" x14ac:dyDescent="0.3">
      <c r="A38">
        <v>40</v>
      </c>
      <c r="B38" s="43">
        <v>45985.904050925928</v>
      </c>
      <c r="C38" s="44" t="s">
        <v>126</v>
      </c>
      <c r="D38" s="44">
        <v>503247967</v>
      </c>
      <c r="E38" s="45">
        <v>32130</v>
      </c>
      <c r="F38" s="44" t="s">
        <v>35</v>
      </c>
      <c r="G38" s="44" t="s">
        <v>17</v>
      </c>
      <c r="H38" s="44" t="s">
        <v>18</v>
      </c>
      <c r="I38" s="44" t="s">
        <v>19</v>
      </c>
      <c r="J38" s="44" t="s">
        <v>127</v>
      </c>
      <c r="K38" s="44">
        <v>958825517</v>
      </c>
      <c r="L38" s="26">
        <f t="shared" ca="1" si="2"/>
        <v>38</v>
      </c>
      <c r="M38" s="27" t="str">
        <f t="shared" ca="1" si="1"/>
        <v>MASTER B</v>
      </c>
      <c r="N38" s="26">
        <v>1</v>
      </c>
    </row>
    <row r="39" spans="1:14" ht="27.6" x14ac:dyDescent="0.3">
      <c r="A39">
        <v>41</v>
      </c>
      <c r="B39" s="40">
        <v>45985.909398148149</v>
      </c>
      <c r="C39" s="41" t="s">
        <v>132</v>
      </c>
      <c r="D39" s="41">
        <v>503613077</v>
      </c>
      <c r="E39" s="42">
        <v>32810</v>
      </c>
      <c r="F39" s="41" t="s">
        <v>16</v>
      </c>
      <c r="G39" s="41" t="s">
        <v>17</v>
      </c>
      <c r="H39" s="41" t="s">
        <v>18</v>
      </c>
      <c r="I39" s="41" t="s">
        <v>19</v>
      </c>
      <c r="J39" s="41" t="s">
        <v>133</v>
      </c>
      <c r="K39" s="41">
        <v>997301353</v>
      </c>
      <c r="L39" s="26">
        <f t="shared" ca="1" si="2"/>
        <v>36</v>
      </c>
      <c r="M39" s="27" t="str">
        <f t="shared" ca="1" si="1"/>
        <v>MASTER B</v>
      </c>
      <c r="N39" s="26">
        <v>1</v>
      </c>
    </row>
    <row r="40" spans="1:14" ht="27.6" x14ac:dyDescent="0.3">
      <c r="A40">
        <v>44</v>
      </c>
      <c r="B40" s="43">
        <v>45986.372164351851</v>
      </c>
      <c r="C40" s="44" t="s">
        <v>134</v>
      </c>
      <c r="D40" s="44">
        <v>1804046629</v>
      </c>
      <c r="E40" s="45">
        <v>32265</v>
      </c>
      <c r="F40" s="44" t="s">
        <v>16</v>
      </c>
      <c r="G40" s="44" t="s">
        <v>17</v>
      </c>
      <c r="H40" s="44" t="s">
        <v>18</v>
      </c>
      <c r="I40" s="44" t="s">
        <v>19</v>
      </c>
      <c r="J40" s="44" t="s">
        <v>135</v>
      </c>
      <c r="K40" s="44">
        <v>999076717</v>
      </c>
      <c r="L40" s="26">
        <f t="shared" ca="1" si="2"/>
        <v>37</v>
      </c>
      <c r="M40" s="27" t="str">
        <f t="shared" ca="1" si="1"/>
        <v>MASTER B</v>
      </c>
      <c r="N40" s="26">
        <v>1</v>
      </c>
    </row>
    <row r="41" spans="1:14" ht="41.4" x14ac:dyDescent="0.3">
      <c r="A41">
        <v>45</v>
      </c>
      <c r="B41" s="43">
        <v>45986.670624999999</v>
      </c>
      <c r="C41" s="44" t="s">
        <v>154</v>
      </c>
      <c r="D41" s="44">
        <v>1600638793</v>
      </c>
      <c r="E41" s="45">
        <v>34787</v>
      </c>
      <c r="F41" s="44" t="s">
        <v>35</v>
      </c>
      <c r="G41" s="44" t="s">
        <v>17</v>
      </c>
      <c r="H41" s="44" t="s">
        <v>18</v>
      </c>
      <c r="I41" s="44" t="s">
        <v>19</v>
      </c>
      <c r="J41" s="44" t="s">
        <v>155</v>
      </c>
      <c r="K41" s="44">
        <v>998345965</v>
      </c>
      <c r="L41" s="26">
        <f t="shared" ca="1" si="2"/>
        <v>30</v>
      </c>
      <c r="M41" s="27" t="str">
        <f t="shared" ca="1" si="1"/>
        <v>MASTER A</v>
      </c>
      <c r="N41" s="26">
        <v>1</v>
      </c>
    </row>
    <row r="42" spans="1:14" ht="27.6" x14ac:dyDescent="0.3">
      <c r="A42">
        <v>46</v>
      </c>
      <c r="B42" s="40">
        <v>45986.681550925925</v>
      </c>
      <c r="C42" s="41" t="s">
        <v>156</v>
      </c>
      <c r="D42" s="41">
        <v>1850035781</v>
      </c>
      <c r="E42" s="42">
        <v>36759</v>
      </c>
      <c r="F42" s="41" t="s">
        <v>16</v>
      </c>
      <c r="G42" s="41" t="s">
        <v>17</v>
      </c>
      <c r="H42" s="41" t="s">
        <v>18</v>
      </c>
      <c r="I42" s="41" t="s">
        <v>118</v>
      </c>
      <c r="J42" s="41" t="s">
        <v>157</v>
      </c>
      <c r="K42" s="41">
        <v>981629485</v>
      </c>
      <c r="L42" s="26">
        <f t="shared" ca="1" si="2"/>
        <v>25</v>
      </c>
      <c r="M42" s="27" t="str">
        <f t="shared" ca="1" si="1"/>
        <v>MASTER A</v>
      </c>
      <c r="N42" s="26">
        <v>1</v>
      </c>
    </row>
    <row r="43" spans="1:14" ht="27.6" x14ac:dyDescent="0.3">
      <c r="A43">
        <v>47</v>
      </c>
      <c r="B43" s="43">
        <v>45986.683125000003</v>
      </c>
      <c r="C43" s="44" t="s">
        <v>158</v>
      </c>
      <c r="D43" s="44">
        <v>1803890936</v>
      </c>
      <c r="E43" s="45">
        <v>30696</v>
      </c>
      <c r="F43" s="44" t="s">
        <v>35</v>
      </c>
      <c r="G43" s="44" t="s">
        <v>17</v>
      </c>
      <c r="H43" s="44" t="s">
        <v>28</v>
      </c>
      <c r="I43" s="44" t="s">
        <v>19</v>
      </c>
      <c r="J43" s="44" t="s">
        <v>159</v>
      </c>
      <c r="K43" s="44">
        <v>998040356</v>
      </c>
      <c r="L43" s="26">
        <f t="shared" ca="1" si="2"/>
        <v>41</v>
      </c>
      <c r="M43" s="27" t="str">
        <f t="shared" ca="1" si="1"/>
        <v>MASTER C</v>
      </c>
      <c r="N43" s="26">
        <v>1</v>
      </c>
    </row>
    <row r="44" spans="1:14" ht="41.4" x14ac:dyDescent="0.3">
      <c r="A44">
        <v>48</v>
      </c>
      <c r="B44" s="40">
        <v>45986.686030092591</v>
      </c>
      <c r="C44" s="41" t="s">
        <v>160</v>
      </c>
      <c r="D44" s="41">
        <v>1803694122</v>
      </c>
      <c r="E44" s="42">
        <v>30475</v>
      </c>
      <c r="F44" s="41" t="s">
        <v>35</v>
      </c>
      <c r="G44" s="41" t="s">
        <v>17</v>
      </c>
      <c r="H44" s="41" t="s">
        <v>28</v>
      </c>
      <c r="I44" s="41" t="s">
        <v>19</v>
      </c>
      <c r="J44" s="41" t="s">
        <v>161</v>
      </c>
      <c r="K44" s="41">
        <v>999865023</v>
      </c>
      <c r="L44" s="26">
        <f t="shared" ca="1" si="2"/>
        <v>42</v>
      </c>
      <c r="M44" s="27" t="str">
        <f t="shared" ca="1" si="1"/>
        <v>MASTER C</v>
      </c>
      <c r="N44" s="26">
        <v>1</v>
      </c>
    </row>
    <row r="45" spans="1:14" ht="27.6" x14ac:dyDescent="0.3">
      <c r="A45">
        <v>49</v>
      </c>
      <c r="B45" s="43">
        <v>45986.687696759262</v>
      </c>
      <c r="C45" s="44" t="s">
        <v>162</v>
      </c>
      <c r="D45" s="44">
        <v>1803591005</v>
      </c>
      <c r="E45" s="45">
        <v>32968</v>
      </c>
      <c r="F45" s="44" t="s">
        <v>35</v>
      </c>
      <c r="G45" s="44" t="s">
        <v>17</v>
      </c>
      <c r="H45" s="44" t="s">
        <v>18</v>
      </c>
      <c r="I45" s="44" t="s">
        <v>19</v>
      </c>
      <c r="J45" s="44" t="s">
        <v>163</v>
      </c>
      <c r="K45" s="44">
        <v>984649533</v>
      </c>
      <c r="L45" s="26">
        <f t="shared" ca="1" si="2"/>
        <v>35</v>
      </c>
      <c r="M45" s="27" t="str">
        <f t="shared" ca="1" si="1"/>
        <v>MASTER B</v>
      </c>
      <c r="N45" s="26">
        <v>1</v>
      </c>
    </row>
    <row r="46" spans="1:14" ht="27.6" x14ac:dyDescent="0.3">
      <c r="A46">
        <v>50</v>
      </c>
      <c r="B46" s="40">
        <v>45986.69253472222</v>
      </c>
      <c r="C46" s="41" t="s">
        <v>164</v>
      </c>
      <c r="D46" s="41">
        <v>1804663589</v>
      </c>
      <c r="E46" s="42">
        <v>34599</v>
      </c>
      <c r="F46" s="41" t="s">
        <v>35</v>
      </c>
      <c r="G46" s="41" t="s">
        <v>17</v>
      </c>
      <c r="H46" s="41" t="s">
        <v>18</v>
      </c>
      <c r="I46" s="41" t="s">
        <v>19</v>
      </c>
      <c r="J46" s="41" t="s">
        <v>165</v>
      </c>
      <c r="K46" s="41">
        <v>980160392</v>
      </c>
      <c r="L46" s="26">
        <f t="shared" ca="1" si="2"/>
        <v>31</v>
      </c>
      <c r="M46" s="27" t="str">
        <f t="shared" ca="1" si="1"/>
        <v>MASTER B</v>
      </c>
      <c r="N46" s="26">
        <v>1</v>
      </c>
    </row>
    <row r="47" spans="1:14" ht="41.4" x14ac:dyDescent="0.3">
      <c r="A47">
        <v>51</v>
      </c>
      <c r="B47" s="43">
        <v>45986.709305555552</v>
      </c>
      <c r="C47" s="44" t="s">
        <v>166</v>
      </c>
      <c r="D47" s="44">
        <v>1802751626</v>
      </c>
      <c r="E47" s="45">
        <v>28339</v>
      </c>
      <c r="F47" s="44" t="s">
        <v>16</v>
      </c>
      <c r="G47" s="44" t="s">
        <v>17</v>
      </c>
      <c r="H47" s="44" t="s">
        <v>28</v>
      </c>
      <c r="I47" s="44" t="s">
        <v>19</v>
      </c>
      <c r="J47" s="44" t="s">
        <v>167</v>
      </c>
      <c r="K47" s="44">
        <v>939615617</v>
      </c>
      <c r="L47" s="26">
        <f t="shared" ca="1" si="2"/>
        <v>48</v>
      </c>
      <c r="M47" s="27" t="str">
        <f t="shared" ca="1" si="1"/>
        <v>MASTER C</v>
      </c>
      <c r="N47" s="26">
        <v>1</v>
      </c>
    </row>
    <row r="48" spans="1:14" ht="41.4" x14ac:dyDescent="0.3">
      <c r="A48">
        <v>52</v>
      </c>
      <c r="B48" s="40">
        <v>45986.712638888886</v>
      </c>
      <c r="C48" s="41" t="s">
        <v>168</v>
      </c>
      <c r="D48" s="41">
        <v>1804752515</v>
      </c>
      <c r="E48" s="42">
        <v>32994</v>
      </c>
      <c r="F48" s="41" t="s">
        <v>16</v>
      </c>
      <c r="G48" s="41" t="s">
        <v>17</v>
      </c>
      <c r="H48" s="41" t="s">
        <v>18</v>
      </c>
      <c r="I48" s="41" t="s">
        <v>25</v>
      </c>
      <c r="J48" s="41" t="s">
        <v>169</v>
      </c>
      <c r="K48" s="41">
        <v>999258105</v>
      </c>
      <c r="L48" s="26">
        <f t="shared" ca="1" si="2"/>
        <v>35</v>
      </c>
      <c r="M48" s="27" t="str">
        <f t="shared" ca="1" si="1"/>
        <v>MASTER B</v>
      </c>
      <c r="N48" s="26">
        <v>1</v>
      </c>
    </row>
    <row r="49" spans="1:15" ht="41.4" x14ac:dyDescent="0.3">
      <c r="A49">
        <v>53</v>
      </c>
      <c r="B49" s="43">
        <v>45986.715833333335</v>
      </c>
      <c r="C49" s="44" t="s">
        <v>170</v>
      </c>
      <c r="D49" s="44">
        <v>1803502499</v>
      </c>
      <c r="E49" s="45">
        <v>33423</v>
      </c>
      <c r="F49" s="44" t="s">
        <v>35</v>
      </c>
      <c r="G49" s="44" t="s">
        <v>17</v>
      </c>
      <c r="H49" s="44" t="s">
        <v>18</v>
      </c>
      <c r="I49" s="44" t="s">
        <v>19</v>
      </c>
      <c r="J49" s="44" t="s">
        <v>171</v>
      </c>
      <c r="K49" s="44">
        <v>983636413</v>
      </c>
      <c r="L49" s="26">
        <f t="shared" ca="1" si="2"/>
        <v>34</v>
      </c>
      <c r="M49" s="27" t="str">
        <f t="shared" ca="1" si="1"/>
        <v>MASTER B</v>
      </c>
      <c r="N49" s="26">
        <v>1</v>
      </c>
    </row>
    <row r="50" spans="1:15" ht="41.4" x14ac:dyDescent="0.3">
      <c r="A50">
        <v>54</v>
      </c>
      <c r="B50" s="40">
        <v>45986.725821759261</v>
      </c>
      <c r="C50" s="41" t="s">
        <v>172</v>
      </c>
      <c r="D50" s="41">
        <v>1804104329</v>
      </c>
      <c r="E50" s="42">
        <v>34501</v>
      </c>
      <c r="F50" s="41" t="s">
        <v>35</v>
      </c>
      <c r="G50" s="41" t="s">
        <v>17</v>
      </c>
      <c r="H50" s="41" t="s">
        <v>18</v>
      </c>
      <c r="I50" s="41" t="s">
        <v>19</v>
      </c>
      <c r="J50" s="41" t="s">
        <v>173</v>
      </c>
      <c r="K50" s="41">
        <v>962132222</v>
      </c>
      <c r="L50" s="26">
        <f t="shared" ca="1" si="2"/>
        <v>31</v>
      </c>
      <c r="M50" s="27" t="str">
        <f t="shared" ca="1" si="1"/>
        <v>MASTER B</v>
      </c>
      <c r="N50" s="26">
        <v>1</v>
      </c>
    </row>
    <row r="51" spans="1:15" ht="41.4" x14ac:dyDescent="0.3">
      <c r="A51">
        <v>55</v>
      </c>
      <c r="B51" s="43">
        <v>45986.777662037035</v>
      </c>
      <c r="C51" s="44" t="s">
        <v>176</v>
      </c>
      <c r="D51" s="44">
        <v>1850476514</v>
      </c>
      <c r="E51" s="45">
        <v>38634</v>
      </c>
      <c r="F51" s="44" t="s">
        <v>16</v>
      </c>
      <c r="G51" s="44" t="s">
        <v>17</v>
      </c>
      <c r="H51" s="44" t="s">
        <v>44</v>
      </c>
      <c r="I51" s="44" t="s">
        <v>19</v>
      </c>
      <c r="J51" s="44" t="s">
        <v>177</v>
      </c>
      <c r="K51" s="44">
        <v>979195494</v>
      </c>
      <c r="L51" s="26">
        <f t="shared" ca="1" si="2"/>
        <v>20</v>
      </c>
      <c r="M51" s="27" t="str">
        <f t="shared" ca="1" si="1"/>
        <v>JUVENIL</v>
      </c>
      <c r="N51" s="26">
        <v>1</v>
      </c>
    </row>
    <row r="52" spans="1:15" ht="41.4" x14ac:dyDescent="0.3">
      <c r="A52">
        <v>56</v>
      </c>
      <c r="B52" s="43">
        <v>45986.787499999999</v>
      </c>
      <c r="C52" s="44" t="s">
        <v>180</v>
      </c>
      <c r="D52" s="44">
        <v>1805540331</v>
      </c>
      <c r="E52" s="45">
        <v>34520</v>
      </c>
      <c r="F52" s="44" t="s">
        <v>35</v>
      </c>
      <c r="G52" s="44" t="s">
        <v>17</v>
      </c>
      <c r="H52" s="44" t="s">
        <v>18</v>
      </c>
      <c r="I52" s="44" t="s">
        <v>19</v>
      </c>
      <c r="J52" s="44" t="s">
        <v>181</v>
      </c>
      <c r="K52" s="44">
        <v>979207874</v>
      </c>
      <c r="L52" s="26">
        <f t="shared" ca="1" si="2"/>
        <v>31</v>
      </c>
      <c r="M52" s="27" t="str">
        <f t="shared" ca="1" si="1"/>
        <v>MASTER B</v>
      </c>
      <c r="N52" s="26">
        <v>1</v>
      </c>
    </row>
    <row r="53" spans="1:15" ht="41.4" x14ac:dyDescent="0.3">
      <c r="A53">
        <v>57</v>
      </c>
      <c r="B53" s="40">
        <v>45986.792974537035</v>
      </c>
      <c r="C53" s="41" t="s">
        <v>182</v>
      </c>
      <c r="D53" s="41">
        <v>1850621648</v>
      </c>
      <c r="E53" s="42">
        <v>37738</v>
      </c>
      <c r="F53" s="41" t="s">
        <v>35</v>
      </c>
      <c r="G53" s="41" t="s">
        <v>17</v>
      </c>
      <c r="H53" s="41" t="s">
        <v>18</v>
      </c>
      <c r="I53" s="41" t="s">
        <v>19</v>
      </c>
      <c r="J53" s="41" t="s">
        <v>183</v>
      </c>
      <c r="K53" s="41">
        <v>995770299</v>
      </c>
      <c r="L53" s="26">
        <f t="shared" ca="1" si="2"/>
        <v>22</v>
      </c>
      <c r="M53" s="27" t="str">
        <f t="shared" ca="1" si="1"/>
        <v>MASTER A</v>
      </c>
      <c r="N53" s="26">
        <v>1</v>
      </c>
    </row>
    <row r="54" spans="1:15" ht="27.6" x14ac:dyDescent="0.3">
      <c r="A54">
        <v>58</v>
      </c>
      <c r="B54" s="40">
        <v>45986.820208333331</v>
      </c>
      <c r="C54" s="41" t="s">
        <v>186</v>
      </c>
      <c r="D54" s="41">
        <v>1805184957</v>
      </c>
      <c r="E54" s="42">
        <v>34711</v>
      </c>
      <c r="F54" s="41" t="s">
        <v>16</v>
      </c>
      <c r="G54" s="41" t="s">
        <v>17</v>
      </c>
      <c r="H54" s="41" t="s">
        <v>18</v>
      </c>
      <c r="I54" s="41" t="s">
        <v>19</v>
      </c>
      <c r="J54" s="41" t="s">
        <v>187</v>
      </c>
      <c r="K54" s="41">
        <v>981007688</v>
      </c>
      <c r="L54" s="26">
        <f t="shared" ca="1" si="2"/>
        <v>30</v>
      </c>
      <c r="M54" s="27" t="str">
        <f t="shared" ca="1" si="1"/>
        <v>MASTER A</v>
      </c>
      <c r="N54" s="26">
        <v>1</v>
      </c>
    </row>
    <row r="55" spans="1:15" ht="27.6" x14ac:dyDescent="0.3">
      <c r="A55">
        <v>59</v>
      </c>
      <c r="B55" s="40">
        <v>45986.849340277775</v>
      </c>
      <c r="C55" s="41" t="s">
        <v>190</v>
      </c>
      <c r="D55" s="41">
        <v>604063297</v>
      </c>
      <c r="E55" s="42">
        <v>33688</v>
      </c>
      <c r="F55" s="41" t="s">
        <v>35</v>
      </c>
      <c r="G55" s="41" t="s">
        <v>17</v>
      </c>
      <c r="H55" s="41" t="s">
        <v>18</v>
      </c>
      <c r="I55" s="41" t="s">
        <v>36</v>
      </c>
      <c r="J55" s="41" t="s">
        <v>191</v>
      </c>
      <c r="K55" s="41">
        <v>995969166</v>
      </c>
      <c r="L55" s="26">
        <f t="shared" ca="1" si="2"/>
        <v>33</v>
      </c>
      <c r="M55" s="27" t="str">
        <f t="shared" ca="1" si="1"/>
        <v>MASTER B</v>
      </c>
      <c r="N55" s="26">
        <v>1</v>
      </c>
    </row>
    <row r="56" spans="1:15" ht="27.6" x14ac:dyDescent="0.3">
      <c r="A56">
        <v>60</v>
      </c>
      <c r="B56" s="40">
        <v>45986.87709490741</v>
      </c>
      <c r="C56" s="41" t="s">
        <v>194</v>
      </c>
      <c r="D56" s="41">
        <v>1600504235</v>
      </c>
      <c r="E56" s="42">
        <v>34488</v>
      </c>
      <c r="F56" s="41" t="s">
        <v>35</v>
      </c>
      <c r="G56" s="41" t="s">
        <v>17</v>
      </c>
      <c r="H56" s="41" t="s">
        <v>18</v>
      </c>
      <c r="I56" s="41" t="s">
        <v>36</v>
      </c>
      <c r="J56" s="41" t="s">
        <v>195</v>
      </c>
      <c r="K56" s="41">
        <v>995795941</v>
      </c>
      <c r="L56" s="26">
        <f t="shared" ca="1" si="2"/>
        <v>31</v>
      </c>
      <c r="M56" s="27" t="str">
        <f t="shared" ca="1" si="1"/>
        <v>MASTER B</v>
      </c>
      <c r="N56" s="26">
        <v>1</v>
      </c>
    </row>
    <row r="57" spans="1:15" ht="27.6" x14ac:dyDescent="0.3">
      <c r="A57">
        <v>61</v>
      </c>
      <c r="B57" s="40">
        <v>45986.955347222225</v>
      </c>
      <c r="C57" s="41" t="s">
        <v>198</v>
      </c>
      <c r="D57" s="41">
        <v>1719938423</v>
      </c>
      <c r="E57" s="42">
        <v>33113</v>
      </c>
      <c r="F57" s="41" t="s">
        <v>16</v>
      </c>
      <c r="G57" s="41" t="s">
        <v>17</v>
      </c>
      <c r="H57" s="41" t="s">
        <v>18</v>
      </c>
      <c r="I57" s="41" t="s">
        <v>25</v>
      </c>
      <c r="J57" s="41" t="s">
        <v>199</v>
      </c>
      <c r="K57" s="41">
        <v>996421611</v>
      </c>
      <c r="L57" s="26">
        <f t="shared" ca="1" si="2"/>
        <v>35</v>
      </c>
      <c r="M57" s="27" t="str">
        <f t="shared" ca="1" si="1"/>
        <v>MASTER B</v>
      </c>
      <c r="N57" s="26">
        <v>1</v>
      </c>
    </row>
    <row r="58" spans="1:15" ht="27.6" x14ac:dyDescent="0.3">
      <c r="A58">
        <v>62</v>
      </c>
      <c r="B58" s="43">
        <v>45986.9609375</v>
      </c>
      <c r="C58" s="44" t="s">
        <v>200</v>
      </c>
      <c r="D58" s="44">
        <v>1751466978</v>
      </c>
      <c r="E58" s="45">
        <v>34406</v>
      </c>
      <c r="F58" s="44" t="s">
        <v>35</v>
      </c>
      <c r="G58" s="44" t="s">
        <v>17</v>
      </c>
      <c r="H58" s="44"/>
      <c r="I58" s="44" t="s">
        <v>36</v>
      </c>
      <c r="J58" s="44" t="s">
        <v>201</v>
      </c>
      <c r="K58" s="44">
        <v>998321362</v>
      </c>
      <c r="L58" s="26">
        <f t="shared" ca="1" si="2"/>
        <v>31</v>
      </c>
      <c r="M58" s="27" t="str">
        <f t="shared" ca="1" si="1"/>
        <v>MASTER B</v>
      </c>
      <c r="N58" s="26">
        <v>1</v>
      </c>
    </row>
    <row r="59" spans="1:15" ht="41.4" x14ac:dyDescent="0.3">
      <c r="A59">
        <v>63</v>
      </c>
      <c r="B59" s="40">
        <v>45987.011122685188</v>
      </c>
      <c r="C59" s="41" t="s">
        <v>202</v>
      </c>
      <c r="D59" s="41">
        <v>603466541</v>
      </c>
      <c r="E59" s="42">
        <v>31208</v>
      </c>
      <c r="F59" s="41" t="s">
        <v>16</v>
      </c>
      <c r="G59" s="41" t="s">
        <v>17</v>
      </c>
      <c r="H59" s="41" t="s">
        <v>18</v>
      </c>
      <c r="I59" s="41" t="s">
        <v>19</v>
      </c>
      <c r="J59" s="41" t="s">
        <v>203</v>
      </c>
      <c r="K59" s="41">
        <v>990552078</v>
      </c>
      <c r="L59" s="26">
        <f t="shared" ca="1" si="2"/>
        <v>40</v>
      </c>
      <c r="M59" s="27" t="str">
        <f t="shared" ca="1" si="1"/>
        <v>MASTER B</v>
      </c>
      <c r="N59" s="26">
        <v>1</v>
      </c>
    </row>
    <row r="60" spans="1:15" ht="41.4" x14ac:dyDescent="0.3">
      <c r="A60">
        <v>66</v>
      </c>
      <c r="B60" s="43">
        <v>45987.374050925922</v>
      </c>
      <c r="C60" s="44" t="s">
        <v>207</v>
      </c>
      <c r="D60" s="44">
        <v>1850218973</v>
      </c>
      <c r="E60" s="45">
        <v>40321</v>
      </c>
      <c r="F60" s="44" t="s">
        <v>35</v>
      </c>
      <c r="G60" s="44" t="s">
        <v>17</v>
      </c>
      <c r="H60" s="44" t="s">
        <v>44</v>
      </c>
      <c r="I60" s="44" t="s">
        <v>36</v>
      </c>
      <c r="J60" s="44" t="s">
        <v>173</v>
      </c>
      <c r="K60" s="44">
        <v>969030639</v>
      </c>
      <c r="L60" s="26">
        <f t="shared" ca="1" si="2"/>
        <v>15</v>
      </c>
      <c r="M60" s="27" t="str">
        <f t="shared" ca="1" si="1"/>
        <v>JUVENIL</v>
      </c>
      <c r="N60" s="26">
        <v>1</v>
      </c>
    </row>
    <row r="61" spans="1:15" ht="41.4" x14ac:dyDescent="0.3">
      <c r="A61">
        <v>30</v>
      </c>
      <c r="B61" s="43">
        <v>45986.9455787037</v>
      </c>
      <c r="C61" s="54" t="s">
        <v>196</v>
      </c>
      <c r="D61" s="44">
        <v>202223012</v>
      </c>
      <c r="E61" s="45">
        <v>37221</v>
      </c>
      <c r="F61" s="44" t="s">
        <v>16</v>
      </c>
      <c r="G61" s="44" t="s">
        <v>17</v>
      </c>
      <c r="H61" s="44" t="s">
        <v>18</v>
      </c>
      <c r="I61" s="44" t="s">
        <v>19</v>
      </c>
      <c r="J61" s="44" t="s">
        <v>197</v>
      </c>
      <c r="K61" s="44">
        <v>992797068</v>
      </c>
      <c r="L61" s="26">
        <f t="shared" ca="1" si="2"/>
        <v>24</v>
      </c>
      <c r="M61" s="27" t="str">
        <f t="shared" ca="1" si="1"/>
        <v>MASTER A</v>
      </c>
      <c r="N61" s="26">
        <v>1</v>
      </c>
    </row>
    <row r="62" spans="1:15" ht="26.4" x14ac:dyDescent="0.3">
      <c r="B62" s="46">
        <v>45989.42633101852</v>
      </c>
      <c r="C62" s="47" t="s">
        <v>216</v>
      </c>
      <c r="D62" s="34">
        <v>1805042932</v>
      </c>
      <c r="E62" s="35">
        <v>33803</v>
      </c>
      <c r="F62" s="34" t="s">
        <v>16</v>
      </c>
      <c r="G62" s="34" t="s">
        <v>17</v>
      </c>
      <c r="H62" s="34" t="s">
        <v>18</v>
      </c>
      <c r="I62" s="34" t="s">
        <v>25</v>
      </c>
      <c r="J62" s="34" t="s">
        <v>217</v>
      </c>
      <c r="K62" s="34">
        <v>989701724</v>
      </c>
      <c r="L62" s="26">
        <f t="shared" ca="1" si="2"/>
        <v>33</v>
      </c>
      <c r="M62" s="27" t="str">
        <f t="shared" ca="1" si="1"/>
        <v>MASTER B</v>
      </c>
      <c r="N62" s="26">
        <v>1</v>
      </c>
      <c r="O62" t="s">
        <v>365</v>
      </c>
    </row>
    <row r="63" spans="1:15" ht="39.6" x14ac:dyDescent="0.3">
      <c r="B63" s="23">
        <v>45989.467418981483</v>
      </c>
      <c r="C63" s="24" t="s">
        <v>218</v>
      </c>
      <c r="D63" s="24">
        <v>1600490799</v>
      </c>
      <c r="E63" s="25">
        <v>32643</v>
      </c>
      <c r="F63" s="24" t="s">
        <v>35</v>
      </c>
      <c r="G63" s="24" t="s">
        <v>17</v>
      </c>
      <c r="H63" s="24" t="s">
        <v>18</v>
      </c>
      <c r="I63" s="24" t="s">
        <v>36</v>
      </c>
      <c r="J63" s="24" t="s">
        <v>219</v>
      </c>
      <c r="K63" s="24">
        <v>995725535</v>
      </c>
      <c r="L63" s="26">
        <f t="shared" ca="1" si="2"/>
        <v>36</v>
      </c>
      <c r="M63" s="27" t="str">
        <f t="shared" ca="1" si="1"/>
        <v>MASTER B</v>
      </c>
      <c r="N63" s="26">
        <v>1</v>
      </c>
    </row>
    <row r="64" spans="1:15" ht="39.6" x14ac:dyDescent="0.3">
      <c r="B64" s="46">
        <v>45989.527592592596</v>
      </c>
      <c r="C64" s="34" t="s">
        <v>263</v>
      </c>
      <c r="D64" s="34"/>
      <c r="E64" s="35">
        <v>30806</v>
      </c>
      <c r="F64" s="34" t="s">
        <v>16</v>
      </c>
      <c r="G64" s="34" t="s">
        <v>17</v>
      </c>
      <c r="H64" s="34" t="s">
        <v>28</v>
      </c>
      <c r="I64" s="34" t="s">
        <v>19</v>
      </c>
      <c r="J64" s="34" t="s">
        <v>220</v>
      </c>
      <c r="K64" s="34">
        <v>984320725</v>
      </c>
      <c r="L64" s="26">
        <f t="shared" ca="1" si="2"/>
        <v>41</v>
      </c>
      <c r="M64" s="27" t="str">
        <f t="shared" ca="1" si="1"/>
        <v>MASTER C</v>
      </c>
      <c r="N64" s="26">
        <v>1</v>
      </c>
    </row>
    <row r="65" spans="2:14" ht="26.4" x14ac:dyDescent="0.3">
      <c r="B65" s="46">
        <v>45989.625300925924</v>
      </c>
      <c r="C65" s="34" t="s">
        <v>223</v>
      </c>
      <c r="D65" s="34">
        <v>1850866532</v>
      </c>
      <c r="E65" s="35">
        <v>38559</v>
      </c>
      <c r="F65" s="34" t="s">
        <v>16</v>
      </c>
      <c r="G65" s="34" t="s">
        <v>17</v>
      </c>
      <c r="H65" s="34" t="s">
        <v>44</v>
      </c>
      <c r="I65" s="34" t="s">
        <v>19</v>
      </c>
      <c r="J65" s="34" t="s">
        <v>224</v>
      </c>
      <c r="K65" s="34">
        <v>998991955</v>
      </c>
      <c r="L65" s="26">
        <f t="shared" ca="1" si="2"/>
        <v>20</v>
      </c>
      <c r="M65" s="27" t="str">
        <f t="shared" ca="1" si="1"/>
        <v>JUVENIL</v>
      </c>
      <c r="N65" s="26">
        <v>1</v>
      </c>
    </row>
    <row r="66" spans="2:14" ht="26.4" x14ac:dyDescent="0.3">
      <c r="B66" s="23">
        <v>45990.659085648149</v>
      </c>
      <c r="C66" s="24" t="s">
        <v>225</v>
      </c>
      <c r="D66" s="24">
        <v>1805032477</v>
      </c>
      <c r="E66" s="25">
        <v>37793</v>
      </c>
      <c r="F66" s="24" t="s">
        <v>35</v>
      </c>
      <c r="G66" s="24" t="s">
        <v>17</v>
      </c>
      <c r="H66" s="24" t="s">
        <v>18</v>
      </c>
      <c r="I66" s="24" t="s">
        <v>36</v>
      </c>
      <c r="J66" s="24" t="s">
        <v>226</v>
      </c>
      <c r="K66" s="24">
        <v>999869587</v>
      </c>
      <c r="L66" s="26">
        <f t="shared" ca="1" si="2"/>
        <v>22</v>
      </c>
      <c r="M66" s="27" t="str">
        <f t="shared" ca="1" si="1"/>
        <v>MASTER A</v>
      </c>
      <c r="N66" s="26">
        <v>1</v>
      </c>
    </row>
    <row r="67" spans="2:14" ht="39.6" x14ac:dyDescent="0.3">
      <c r="B67" s="46">
        <v>45991.772766203707</v>
      </c>
      <c r="C67" s="34" t="s">
        <v>229</v>
      </c>
      <c r="D67" s="34">
        <v>1804178257</v>
      </c>
      <c r="E67" s="35">
        <v>31020</v>
      </c>
      <c r="F67" s="34" t="s">
        <v>35</v>
      </c>
      <c r="G67" s="34" t="s">
        <v>17</v>
      </c>
      <c r="H67" s="34" t="s">
        <v>18</v>
      </c>
      <c r="I67" s="34" t="s">
        <v>36</v>
      </c>
      <c r="J67" s="34" t="s">
        <v>230</v>
      </c>
      <c r="K67" s="34">
        <v>961833063</v>
      </c>
      <c r="L67" s="26">
        <f t="shared" ca="1" si="2"/>
        <v>41</v>
      </c>
      <c r="M67" s="27" t="str">
        <f t="shared" ca="1" si="1"/>
        <v>MASTER C</v>
      </c>
      <c r="N67" s="26">
        <v>1</v>
      </c>
    </row>
    <row r="68" spans="2:14" ht="39.6" x14ac:dyDescent="0.3">
      <c r="B68" s="23">
        <v>45991.775000000001</v>
      </c>
      <c r="C68" s="24" t="s">
        <v>231</v>
      </c>
      <c r="D68" s="24">
        <v>1805386784</v>
      </c>
      <c r="E68" s="25">
        <v>34877</v>
      </c>
      <c r="F68" s="24" t="s">
        <v>35</v>
      </c>
      <c r="G68" s="24" t="s">
        <v>17</v>
      </c>
      <c r="H68" s="24" t="s">
        <v>18</v>
      </c>
      <c r="I68" s="24" t="s">
        <v>19</v>
      </c>
      <c r="J68" s="24" t="s">
        <v>230</v>
      </c>
      <c r="K68" s="24">
        <v>996112508</v>
      </c>
      <c r="L68" s="26">
        <f t="shared" ref="L68:L83" ca="1" si="3">YEAR(TODAY())-YEAR(E68)</f>
        <v>30</v>
      </c>
      <c r="M68" s="27" t="str">
        <f t="shared" ca="1" si="1"/>
        <v>MASTER A</v>
      </c>
      <c r="N68" s="26">
        <v>1</v>
      </c>
    </row>
    <row r="69" spans="2:14" ht="26.4" x14ac:dyDescent="0.3">
      <c r="B69" s="23">
        <v>45991.908576388887</v>
      </c>
      <c r="C69" s="24" t="s">
        <v>232</v>
      </c>
      <c r="D69" s="24">
        <v>1804279808</v>
      </c>
      <c r="E69" s="25">
        <v>32650</v>
      </c>
      <c r="F69" s="24" t="s">
        <v>35</v>
      </c>
      <c r="G69" s="24" t="s">
        <v>17</v>
      </c>
      <c r="H69" s="24" t="s">
        <v>18</v>
      </c>
      <c r="I69" s="24" t="s">
        <v>36</v>
      </c>
      <c r="J69" s="24" t="s">
        <v>233</v>
      </c>
      <c r="K69" s="24">
        <v>983552841</v>
      </c>
      <c r="L69" s="26">
        <f t="shared" ca="1" si="3"/>
        <v>36</v>
      </c>
      <c r="M69" s="27" t="str">
        <f t="shared" ref="M69:M89" ca="1" si="4">IF(L69&lt;21,"JUVENIL",IF(L69&lt;31,"MASTER A",IF(L69&lt;41,"MASTER B","MASTER C")))</f>
        <v>MASTER B</v>
      </c>
      <c r="N69" s="26">
        <v>1</v>
      </c>
    </row>
    <row r="70" spans="2:14" ht="39.6" x14ac:dyDescent="0.3">
      <c r="B70" s="46">
        <v>45991.939409722225</v>
      </c>
      <c r="C70" s="34" t="s">
        <v>234</v>
      </c>
      <c r="D70" s="34">
        <v>1804153003</v>
      </c>
      <c r="E70" s="35">
        <v>31868</v>
      </c>
      <c r="F70" s="34" t="s">
        <v>35</v>
      </c>
      <c r="G70" s="34" t="s">
        <v>17</v>
      </c>
      <c r="H70" s="34" t="s">
        <v>18</v>
      </c>
      <c r="I70" s="34" t="s">
        <v>25</v>
      </c>
      <c r="J70" s="34" t="s">
        <v>235</v>
      </c>
      <c r="K70" s="34">
        <v>98797229</v>
      </c>
      <c r="L70" s="26">
        <f t="shared" ca="1" si="3"/>
        <v>38</v>
      </c>
      <c r="M70" s="27" t="str">
        <f t="shared" ca="1" si="4"/>
        <v>MASTER B</v>
      </c>
      <c r="N70" s="26">
        <v>1</v>
      </c>
    </row>
    <row r="71" spans="2:14" ht="39.6" x14ac:dyDescent="0.3">
      <c r="B71" s="23">
        <v>45991.950636574074</v>
      </c>
      <c r="C71" s="24" t="s">
        <v>236</v>
      </c>
      <c r="D71" s="24">
        <v>1804473815</v>
      </c>
      <c r="E71" s="25">
        <v>32693</v>
      </c>
      <c r="F71" s="24" t="s">
        <v>16</v>
      </c>
      <c r="G71" s="24" t="s">
        <v>17</v>
      </c>
      <c r="H71" s="24" t="s">
        <v>18</v>
      </c>
      <c r="I71" s="24" t="s">
        <v>118</v>
      </c>
      <c r="J71" s="24" t="s">
        <v>235</v>
      </c>
      <c r="K71" s="24">
        <v>987972279</v>
      </c>
      <c r="L71" s="26">
        <f t="shared" ca="1" si="3"/>
        <v>36</v>
      </c>
      <c r="M71" s="27" t="str">
        <f t="shared" ca="1" si="4"/>
        <v>MASTER B</v>
      </c>
      <c r="N71" s="26">
        <v>1</v>
      </c>
    </row>
    <row r="72" spans="2:14" ht="39.6" x14ac:dyDescent="0.3">
      <c r="B72" s="46">
        <v>45991.954953703702</v>
      </c>
      <c r="C72" s="34" t="s">
        <v>239</v>
      </c>
      <c r="D72" s="34">
        <v>1600592370</v>
      </c>
      <c r="E72" s="35">
        <v>36304</v>
      </c>
      <c r="F72" s="34" t="s">
        <v>16</v>
      </c>
      <c r="G72" s="34" t="s">
        <v>17</v>
      </c>
      <c r="H72" s="34" t="s">
        <v>18</v>
      </c>
      <c r="I72" s="34" t="s">
        <v>25</v>
      </c>
      <c r="J72" s="34" t="s">
        <v>240</v>
      </c>
      <c r="K72" s="34">
        <v>995780515</v>
      </c>
      <c r="L72" s="26">
        <f t="shared" ca="1" si="3"/>
        <v>26</v>
      </c>
      <c r="M72" s="27" t="str">
        <f t="shared" ca="1" si="4"/>
        <v>MASTER A</v>
      </c>
      <c r="N72" s="26">
        <v>1</v>
      </c>
    </row>
    <row r="73" spans="2:14" ht="26.4" x14ac:dyDescent="0.3">
      <c r="B73" s="23">
        <v>45991.956157407411</v>
      </c>
      <c r="C73" s="24" t="s">
        <v>241</v>
      </c>
      <c r="D73" s="24">
        <v>1600628257</v>
      </c>
      <c r="E73" s="25">
        <v>36456</v>
      </c>
      <c r="F73" s="24" t="s">
        <v>35</v>
      </c>
      <c r="G73" s="24" t="s">
        <v>17</v>
      </c>
      <c r="H73" s="24" t="s">
        <v>18</v>
      </c>
      <c r="I73" s="24" t="s">
        <v>36</v>
      </c>
      <c r="J73" s="24" t="s">
        <v>242</v>
      </c>
      <c r="K73" s="24">
        <v>984928494</v>
      </c>
      <c r="L73" s="26">
        <f t="shared" ca="1" si="3"/>
        <v>26</v>
      </c>
      <c r="M73" s="27" t="str">
        <f t="shared" ca="1" si="4"/>
        <v>MASTER A</v>
      </c>
      <c r="N73" s="26">
        <v>1</v>
      </c>
    </row>
    <row r="74" spans="2:14" ht="26.4" x14ac:dyDescent="0.3">
      <c r="B74" s="46">
        <v>45992.498055555552</v>
      </c>
      <c r="C74" s="34" t="s">
        <v>243</v>
      </c>
      <c r="D74" s="34">
        <v>503915662</v>
      </c>
      <c r="E74" s="35">
        <v>33819</v>
      </c>
      <c r="F74" s="34" t="s">
        <v>16</v>
      </c>
      <c r="G74" s="34" t="s">
        <v>17</v>
      </c>
      <c r="H74" s="34" t="s">
        <v>18</v>
      </c>
      <c r="I74" s="34" t="s">
        <v>76</v>
      </c>
      <c r="J74" s="34" t="s">
        <v>244</v>
      </c>
      <c r="K74" s="34">
        <v>995663957</v>
      </c>
      <c r="L74" s="26">
        <f t="shared" ca="1" si="3"/>
        <v>33</v>
      </c>
      <c r="M74" s="27" t="str">
        <f t="shared" ca="1" si="4"/>
        <v>MASTER B</v>
      </c>
      <c r="N74" s="26">
        <v>1</v>
      </c>
    </row>
    <row r="75" spans="2:14" ht="26.4" x14ac:dyDescent="0.3">
      <c r="B75" s="23">
        <v>45992.677372685182</v>
      </c>
      <c r="C75" s="24" t="s">
        <v>245</v>
      </c>
      <c r="D75" s="24">
        <v>180488849</v>
      </c>
      <c r="E75" s="25">
        <v>35307</v>
      </c>
      <c r="F75" s="24" t="s">
        <v>16</v>
      </c>
      <c r="G75" s="24" t="s">
        <v>17</v>
      </c>
      <c r="H75" s="24"/>
      <c r="I75" s="24" t="s">
        <v>19</v>
      </c>
      <c r="J75" s="24" t="s">
        <v>246</v>
      </c>
      <c r="K75" s="24">
        <v>962672239</v>
      </c>
      <c r="L75" s="26">
        <f t="shared" ca="1" si="3"/>
        <v>29</v>
      </c>
      <c r="M75" s="27" t="str">
        <f t="shared" ca="1" si="4"/>
        <v>MASTER A</v>
      </c>
      <c r="N75" s="26">
        <v>1</v>
      </c>
    </row>
    <row r="76" spans="2:14" ht="39.6" x14ac:dyDescent="0.3">
      <c r="B76" s="46">
        <v>45992.67900462963</v>
      </c>
      <c r="C76" s="34" t="s">
        <v>247</v>
      </c>
      <c r="D76" s="34">
        <v>1805487376</v>
      </c>
      <c r="E76" s="35">
        <v>36381</v>
      </c>
      <c r="F76" s="34" t="s">
        <v>35</v>
      </c>
      <c r="G76" s="34" t="s">
        <v>17</v>
      </c>
      <c r="H76" s="34" t="s">
        <v>18</v>
      </c>
      <c r="I76" s="34" t="s">
        <v>36</v>
      </c>
      <c r="J76" s="34" t="s">
        <v>248</v>
      </c>
      <c r="K76" s="34">
        <v>983802817</v>
      </c>
      <c r="L76" s="26">
        <f t="shared" ca="1" si="3"/>
        <v>26</v>
      </c>
      <c r="M76" s="27" t="str">
        <f t="shared" ca="1" si="4"/>
        <v>MASTER A</v>
      </c>
      <c r="N76" s="26">
        <v>1</v>
      </c>
    </row>
    <row r="77" spans="2:14" ht="39.6" x14ac:dyDescent="0.3">
      <c r="B77" s="23">
        <v>45992.690104166664</v>
      </c>
      <c r="C77" s="24" t="s">
        <v>249</v>
      </c>
      <c r="D77" s="24">
        <v>605702521</v>
      </c>
      <c r="E77" s="25">
        <v>37889</v>
      </c>
      <c r="F77" s="24" t="s">
        <v>16</v>
      </c>
      <c r="G77" s="24" t="s">
        <v>17</v>
      </c>
      <c r="H77" s="24" t="s">
        <v>18</v>
      </c>
      <c r="I77" s="24" t="s">
        <v>19</v>
      </c>
      <c r="J77" s="24" t="s">
        <v>250</v>
      </c>
      <c r="K77" s="24">
        <v>983973022</v>
      </c>
      <c r="L77" s="26">
        <f t="shared" ca="1" si="3"/>
        <v>22</v>
      </c>
      <c r="M77" s="27" t="str">
        <f t="shared" ca="1" si="4"/>
        <v>MASTER A</v>
      </c>
      <c r="N77" s="26">
        <v>1</v>
      </c>
    </row>
    <row r="78" spans="2:14" ht="26.4" x14ac:dyDescent="0.3">
      <c r="B78" s="46">
        <v>45992.891145833331</v>
      </c>
      <c r="C78" s="34" t="s">
        <v>251</v>
      </c>
      <c r="D78" s="34">
        <v>1805032968</v>
      </c>
      <c r="E78" s="35">
        <v>35309</v>
      </c>
      <c r="F78" s="34" t="s">
        <v>35</v>
      </c>
      <c r="G78" s="34" t="s">
        <v>17</v>
      </c>
      <c r="H78" s="34" t="s">
        <v>18</v>
      </c>
      <c r="I78" s="34" t="s">
        <v>19</v>
      </c>
      <c r="J78" s="34" t="s">
        <v>252</v>
      </c>
      <c r="K78" s="34">
        <v>5930984582041</v>
      </c>
      <c r="L78" s="26">
        <f t="shared" ca="1" si="3"/>
        <v>29</v>
      </c>
      <c r="M78" s="27" t="str">
        <f t="shared" ca="1" si="4"/>
        <v>MASTER A</v>
      </c>
      <c r="N78" s="26">
        <v>1</v>
      </c>
    </row>
    <row r="79" spans="2:14" ht="26.4" x14ac:dyDescent="0.3">
      <c r="B79" s="46">
        <v>45993.379976851851</v>
      </c>
      <c r="C79" s="34" t="s">
        <v>255</v>
      </c>
      <c r="D79" s="34">
        <v>1800303149</v>
      </c>
      <c r="E79" s="35">
        <v>16544</v>
      </c>
      <c r="F79" s="34" t="s">
        <v>35</v>
      </c>
      <c r="G79" s="34" t="s">
        <v>17</v>
      </c>
      <c r="H79" s="34" t="s">
        <v>28</v>
      </c>
      <c r="I79" s="34" t="s">
        <v>25</v>
      </c>
      <c r="J79" s="34" t="s">
        <v>256</v>
      </c>
      <c r="K79" s="34">
        <v>996552101</v>
      </c>
      <c r="L79" s="26">
        <f t="shared" ca="1" si="3"/>
        <v>80</v>
      </c>
      <c r="M79" s="27" t="str">
        <f t="shared" ca="1" si="4"/>
        <v>MASTER C</v>
      </c>
      <c r="N79" s="26">
        <v>1</v>
      </c>
    </row>
    <row r="80" spans="2:14" ht="39.6" x14ac:dyDescent="0.3">
      <c r="B80" s="23">
        <v>45993.425625000003</v>
      </c>
      <c r="C80" s="24" t="s">
        <v>257</v>
      </c>
      <c r="D80" s="24">
        <v>1600294407</v>
      </c>
      <c r="E80" s="25">
        <v>26330</v>
      </c>
      <c r="F80" s="24" t="s">
        <v>35</v>
      </c>
      <c r="G80" s="24" t="s">
        <v>17</v>
      </c>
      <c r="H80" s="24" t="s">
        <v>28</v>
      </c>
      <c r="I80" s="24" t="s">
        <v>36</v>
      </c>
      <c r="J80" s="24" t="s">
        <v>258</v>
      </c>
      <c r="K80" s="24">
        <v>998445538</v>
      </c>
      <c r="L80" s="26">
        <f t="shared" ca="1" si="3"/>
        <v>53</v>
      </c>
      <c r="M80" s="27" t="str">
        <f t="shared" ca="1" si="4"/>
        <v>MASTER C</v>
      </c>
      <c r="N80" s="26">
        <v>1</v>
      </c>
    </row>
    <row r="81" spans="2:15" ht="39.6" x14ac:dyDescent="0.3">
      <c r="B81" s="46">
        <v>45993.504131944443</v>
      </c>
      <c r="C81" s="34" t="s">
        <v>259</v>
      </c>
      <c r="D81" s="34">
        <v>107584187</v>
      </c>
      <c r="E81" s="35">
        <v>37306</v>
      </c>
      <c r="F81" s="34" t="s">
        <v>35</v>
      </c>
      <c r="G81" s="34" t="s">
        <v>17</v>
      </c>
      <c r="H81" s="34" t="s">
        <v>18</v>
      </c>
      <c r="I81" s="34" t="s">
        <v>19</v>
      </c>
      <c r="J81" s="34" t="s">
        <v>260</v>
      </c>
      <c r="K81" s="34">
        <v>961895613</v>
      </c>
      <c r="L81" s="26">
        <f t="shared" ca="1" si="3"/>
        <v>23</v>
      </c>
      <c r="M81" s="27" t="str">
        <f t="shared" ca="1" si="4"/>
        <v>MASTER A</v>
      </c>
      <c r="N81" s="26">
        <v>1</v>
      </c>
    </row>
    <row r="82" spans="2:15" ht="39.6" x14ac:dyDescent="0.3">
      <c r="B82" s="23">
        <v>45993.538819444446</v>
      </c>
      <c r="C82" s="24" t="s">
        <v>261</v>
      </c>
      <c r="D82" s="24">
        <v>1850270842</v>
      </c>
      <c r="E82" s="25">
        <v>36854</v>
      </c>
      <c r="F82" s="24" t="s">
        <v>16</v>
      </c>
      <c r="G82" s="24" t="s">
        <v>17</v>
      </c>
      <c r="H82" s="24" t="s">
        <v>18</v>
      </c>
      <c r="I82" s="24" t="s">
        <v>19</v>
      </c>
      <c r="J82" s="24" t="s">
        <v>262</v>
      </c>
      <c r="K82" s="24">
        <v>987254854</v>
      </c>
      <c r="L82" s="26">
        <f t="shared" ca="1" si="3"/>
        <v>25</v>
      </c>
      <c r="M82" s="27" t="str">
        <f t="shared" ca="1" si="4"/>
        <v>MASTER A</v>
      </c>
      <c r="N82" s="26">
        <v>1</v>
      </c>
    </row>
    <row r="83" spans="2:15" ht="39.6" x14ac:dyDescent="0.3">
      <c r="B83" s="34" t="s">
        <v>266</v>
      </c>
      <c r="C83" s="34" t="s">
        <v>267</v>
      </c>
      <c r="D83" s="34">
        <v>1600422867</v>
      </c>
      <c r="E83" s="35">
        <v>29886</v>
      </c>
      <c r="F83" s="34" t="s">
        <v>16</v>
      </c>
      <c r="G83" s="34" t="s">
        <v>17</v>
      </c>
      <c r="H83" s="34" t="s">
        <v>28</v>
      </c>
      <c r="I83" s="34" t="s">
        <v>141</v>
      </c>
      <c r="J83" s="34" t="s">
        <v>268</v>
      </c>
      <c r="K83" s="34">
        <v>939993751</v>
      </c>
      <c r="L83" s="26">
        <f t="shared" ca="1" si="3"/>
        <v>44</v>
      </c>
      <c r="M83" s="27" t="str">
        <f t="shared" ca="1" si="4"/>
        <v>MASTER C</v>
      </c>
      <c r="N83" s="26">
        <v>1</v>
      </c>
    </row>
    <row r="84" spans="2:15" ht="26.4" x14ac:dyDescent="0.3">
      <c r="B84" s="23">
        <v>45993.8669212963</v>
      </c>
      <c r="C84" s="24" t="s">
        <v>269</v>
      </c>
      <c r="D84" s="24">
        <v>1600190670</v>
      </c>
      <c r="E84" s="25">
        <v>23689</v>
      </c>
      <c r="F84" s="24" t="s">
        <v>16</v>
      </c>
      <c r="G84" s="24" t="s">
        <v>17</v>
      </c>
      <c r="H84" s="24" t="s">
        <v>28</v>
      </c>
      <c r="I84" s="24" t="s">
        <v>19</v>
      </c>
      <c r="J84" s="24" t="s">
        <v>270</v>
      </c>
      <c r="K84" s="24">
        <v>987179194</v>
      </c>
      <c r="L84" s="26">
        <f t="shared" ref="L84:L111" ca="1" si="5">YEAR(TODAY())-YEAR(E84)</f>
        <v>61</v>
      </c>
      <c r="M84" s="27" t="str">
        <f t="shared" ca="1" si="4"/>
        <v>MASTER C</v>
      </c>
      <c r="N84" s="26">
        <v>1</v>
      </c>
    </row>
    <row r="85" spans="2:15" ht="39.6" x14ac:dyDescent="0.3">
      <c r="B85" s="46">
        <v>45994.411215277774</v>
      </c>
      <c r="C85" s="34" t="s">
        <v>261</v>
      </c>
      <c r="D85" s="34">
        <v>1850270842</v>
      </c>
      <c r="E85" s="35">
        <v>36854</v>
      </c>
      <c r="F85" s="34" t="s">
        <v>16</v>
      </c>
      <c r="G85" s="34" t="s">
        <v>17</v>
      </c>
      <c r="H85" s="34" t="s">
        <v>18</v>
      </c>
      <c r="I85" s="34" t="s">
        <v>19</v>
      </c>
      <c r="J85" s="34" t="s">
        <v>262</v>
      </c>
      <c r="K85" s="34">
        <v>987254854</v>
      </c>
      <c r="L85" s="26">
        <f t="shared" ca="1" si="5"/>
        <v>25</v>
      </c>
      <c r="M85" s="27" t="str">
        <f t="shared" ca="1" si="4"/>
        <v>MASTER A</v>
      </c>
      <c r="N85" s="26">
        <v>1</v>
      </c>
    </row>
    <row r="86" spans="2:15" ht="39.6" x14ac:dyDescent="0.3">
      <c r="B86" s="46">
        <v>45994.581967592596</v>
      </c>
      <c r="C86" s="34" t="s">
        <v>274</v>
      </c>
      <c r="D86" s="34">
        <v>604187732</v>
      </c>
      <c r="E86" s="35">
        <v>33999</v>
      </c>
      <c r="F86" s="34" t="s">
        <v>35</v>
      </c>
      <c r="G86" s="34" t="s">
        <v>17</v>
      </c>
      <c r="H86" s="34" t="s">
        <v>18</v>
      </c>
      <c r="I86" s="34" t="s">
        <v>19</v>
      </c>
      <c r="J86" s="34" t="s">
        <v>273</v>
      </c>
      <c r="K86" s="34">
        <v>969176488</v>
      </c>
      <c r="L86" s="26">
        <f t="shared" ca="1" si="5"/>
        <v>32</v>
      </c>
      <c r="M86" s="27" t="str">
        <f t="shared" ca="1" si="4"/>
        <v>MASTER B</v>
      </c>
      <c r="N86" s="26">
        <v>1</v>
      </c>
    </row>
    <row r="87" spans="2:15" ht="39.6" x14ac:dyDescent="0.3">
      <c r="B87" s="23">
        <v>45994.77306712963</v>
      </c>
      <c r="C87" s="24" t="s">
        <v>275</v>
      </c>
      <c r="D87" s="24">
        <v>605395730</v>
      </c>
      <c r="E87" s="25">
        <v>37186</v>
      </c>
      <c r="F87" s="24" t="s">
        <v>35</v>
      </c>
      <c r="G87" s="24" t="s">
        <v>17</v>
      </c>
      <c r="H87" s="24" t="s">
        <v>18</v>
      </c>
      <c r="I87" s="24" t="s">
        <v>19</v>
      </c>
      <c r="J87" s="24" t="s">
        <v>273</v>
      </c>
      <c r="K87" s="24">
        <v>998426564</v>
      </c>
      <c r="L87" s="26">
        <f t="shared" ca="1" si="5"/>
        <v>24</v>
      </c>
      <c r="M87" s="27" t="str">
        <f t="shared" ca="1" si="4"/>
        <v>MASTER A</v>
      </c>
      <c r="N87" s="26">
        <v>1</v>
      </c>
    </row>
    <row r="88" spans="2:15" ht="39.6" x14ac:dyDescent="0.3">
      <c r="B88" s="46">
        <v>45994.804942129631</v>
      </c>
      <c r="C88" s="34" t="s">
        <v>276</v>
      </c>
      <c r="D88" s="34">
        <v>2600282396</v>
      </c>
      <c r="E88" s="35">
        <v>24272</v>
      </c>
      <c r="F88" s="34" t="s">
        <v>35</v>
      </c>
      <c r="G88" s="34" t="s">
        <v>17</v>
      </c>
      <c r="H88" s="34" t="s">
        <v>28</v>
      </c>
      <c r="I88" s="34" t="s">
        <v>19</v>
      </c>
      <c r="J88" s="34" t="s">
        <v>277</v>
      </c>
      <c r="K88" s="34" t="s">
        <v>278</v>
      </c>
      <c r="L88" s="26">
        <f t="shared" ca="1" si="5"/>
        <v>59</v>
      </c>
      <c r="M88" s="27" t="str">
        <f t="shared" ca="1" si="4"/>
        <v>MASTER C</v>
      </c>
      <c r="N88" s="26">
        <v>1</v>
      </c>
    </row>
    <row r="89" spans="2:15" ht="26.4" x14ac:dyDescent="0.3">
      <c r="B89" s="23">
        <v>45994.841574074075</v>
      </c>
      <c r="C89" s="24" t="s">
        <v>279</v>
      </c>
      <c r="D89" s="24">
        <v>1805487939</v>
      </c>
      <c r="E89" s="25">
        <v>34120</v>
      </c>
      <c r="F89" s="24" t="s">
        <v>16</v>
      </c>
      <c r="G89" s="24" t="s">
        <v>17</v>
      </c>
      <c r="H89" s="24" t="s">
        <v>18</v>
      </c>
      <c r="I89" s="24" t="s">
        <v>19</v>
      </c>
      <c r="J89" s="24" t="s">
        <v>280</v>
      </c>
      <c r="K89" s="24">
        <v>998523003</v>
      </c>
      <c r="L89" s="26">
        <f t="shared" ca="1" si="5"/>
        <v>32</v>
      </c>
      <c r="M89" s="27" t="str">
        <f t="shared" ca="1" si="4"/>
        <v>MASTER B</v>
      </c>
      <c r="N89" s="26">
        <v>1</v>
      </c>
    </row>
    <row r="90" spans="2:15" ht="26.4" x14ac:dyDescent="0.3">
      <c r="B90" s="46">
        <v>45994.917488425926</v>
      </c>
      <c r="C90" s="34" t="s">
        <v>283</v>
      </c>
      <c r="D90" s="34">
        <v>1804129755</v>
      </c>
      <c r="E90" s="35">
        <v>37678</v>
      </c>
      <c r="F90" s="34" t="s">
        <v>16</v>
      </c>
      <c r="G90" s="34" t="s">
        <v>17</v>
      </c>
      <c r="H90" s="34" t="s">
        <v>18</v>
      </c>
      <c r="I90" s="34" t="s">
        <v>118</v>
      </c>
      <c r="J90" s="34" t="s">
        <v>284</v>
      </c>
      <c r="K90" s="34">
        <v>962285004</v>
      </c>
      <c r="L90" s="26">
        <f t="shared" ca="1" si="5"/>
        <v>22</v>
      </c>
      <c r="M90" s="27" t="str">
        <f t="shared" ref="M90:M129" ca="1" si="6">IF(L90&lt;21,"JUVENIL",IF(L90&lt;31,"MASTER A",IF(L90&lt;41,"MASTER B","MASTER C")))</f>
        <v>MASTER A</v>
      </c>
      <c r="N90" s="26">
        <v>1</v>
      </c>
    </row>
    <row r="91" spans="2:15" ht="39.6" x14ac:dyDescent="0.3">
      <c r="B91" s="23">
        <v>45995.382708333331</v>
      </c>
      <c r="C91" s="24" t="s">
        <v>285</v>
      </c>
      <c r="D91" s="24">
        <v>1600295669</v>
      </c>
      <c r="E91" s="25">
        <v>26621</v>
      </c>
      <c r="F91" s="24" t="s">
        <v>35</v>
      </c>
      <c r="G91" s="24" t="s">
        <v>17</v>
      </c>
      <c r="H91" s="24" t="s">
        <v>28</v>
      </c>
      <c r="I91" s="24" t="s">
        <v>25</v>
      </c>
      <c r="J91" s="24" t="s">
        <v>153</v>
      </c>
      <c r="K91" s="24">
        <v>960434719</v>
      </c>
      <c r="L91" s="26">
        <f t="shared" ca="1" si="5"/>
        <v>53</v>
      </c>
      <c r="M91" s="27" t="str">
        <f t="shared" ca="1" si="6"/>
        <v>MASTER C</v>
      </c>
      <c r="N91" s="26">
        <v>1</v>
      </c>
    </row>
    <row r="92" spans="2:15" ht="39.6" x14ac:dyDescent="0.3">
      <c r="B92" s="46">
        <v>45995.387743055559</v>
      </c>
      <c r="C92" s="34" t="s">
        <v>286</v>
      </c>
      <c r="D92" s="34">
        <v>1600180556</v>
      </c>
      <c r="E92" s="35">
        <v>24191</v>
      </c>
      <c r="F92" s="34" t="s">
        <v>35</v>
      </c>
      <c r="G92" s="34" t="s">
        <v>17</v>
      </c>
      <c r="H92" s="34" t="s">
        <v>28</v>
      </c>
      <c r="I92" s="34" t="s">
        <v>19</v>
      </c>
      <c r="J92" s="34" t="s">
        <v>153</v>
      </c>
      <c r="K92" s="34">
        <v>983821889</v>
      </c>
      <c r="L92" s="26">
        <f t="shared" ca="1" si="5"/>
        <v>59</v>
      </c>
      <c r="M92" s="27" t="str">
        <f t="shared" ca="1" si="6"/>
        <v>MASTER C</v>
      </c>
      <c r="N92" s="26">
        <v>1</v>
      </c>
    </row>
    <row r="93" spans="2:15" ht="26.4" x14ac:dyDescent="0.3">
      <c r="B93" s="46">
        <v>45995.69835648148</v>
      </c>
      <c r="C93" s="34" t="s">
        <v>289</v>
      </c>
      <c r="D93" s="34">
        <v>1805388913</v>
      </c>
      <c r="E93" s="35">
        <v>40247</v>
      </c>
      <c r="F93" s="34" t="s">
        <v>16</v>
      </c>
      <c r="G93" s="34" t="s">
        <v>17</v>
      </c>
      <c r="H93" s="34" t="s">
        <v>44</v>
      </c>
      <c r="I93" s="34" t="s">
        <v>36</v>
      </c>
      <c r="J93" s="34" t="s">
        <v>290</v>
      </c>
      <c r="K93" s="34">
        <v>991048088</v>
      </c>
      <c r="L93" s="26">
        <f t="shared" ca="1" si="5"/>
        <v>15</v>
      </c>
      <c r="M93" s="27" t="str">
        <f t="shared" ca="1" si="6"/>
        <v>JUVENIL</v>
      </c>
      <c r="N93" s="26">
        <v>1</v>
      </c>
    </row>
    <row r="94" spans="2:15" ht="26.4" x14ac:dyDescent="0.3">
      <c r="B94" s="23">
        <v>45995.705949074072</v>
      </c>
      <c r="C94" s="33" t="s">
        <v>291</v>
      </c>
      <c r="D94" s="24">
        <v>401151899</v>
      </c>
      <c r="E94" s="25">
        <v>30708</v>
      </c>
      <c r="F94" s="24" t="s">
        <v>16</v>
      </c>
      <c r="G94" s="24" t="s">
        <v>17</v>
      </c>
      <c r="H94" s="24" t="s">
        <v>28</v>
      </c>
      <c r="I94" s="24" t="s">
        <v>25</v>
      </c>
      <c r="J94" s="24" t="s">
        <v>292</v>
      </c>
      <c r="K94" s="24">
        <v>996135602</v>
      </c>
      <c r="L94" s="26">
        <f t="shared" ca="1" si="5"/>
        <v>41</v>
      </c>
      <c r="M94" s="27" t="str">
        <f t="shared" ca="1" si="6"/>
        <v>MASTER C</v>
      </c>
      <c r="N94" s="26">
        <v>1</v>
      </c>
      <c r="O94" t="s">
        <v>365</v>
      </c>
    </row>
    <row r="95" spans="2:15" ht="39.6" x14ac:dyDescent="0.3">
      <c r="B95" s="46">
        <v>45995.73097222222</v>
      </c>
      <c r="C95" s="34" t="s">
        <v>293</v>
      </c>
      <c r="D95" s="34">
        <v>1850535749</v>
      </c>
      <c r="E95" s="35">
        <v>40316</v>
      </c>
      <c r="F95" s="34" t="s">
        <v>16</v>
      </c>
      <c r="G95" s="34" t="s">
        <v>17</v>
      </c>
      <c r="H95" s="34" t="s">
        <v>44</v>
      </c>
      <c r="I95" s="34" t="s">
        <v>19</v>
      </c>
      <c r="J95" s="34" t="s">
        <v>294</v>
      </c>
      <c r="K95" s="34">
        <v>982541150</v>
      </c>
      <c r="L95" s="26">
        <f t="shared" ca="1" si="5"/>
        <v>15</v>
      </c>
      <c r="M95" s="27" t="str">
        <f t="shared" ca="1" si="6"/>
        <v>JUVENIL</v>
      </c>
      <c r="N95" s="26">
        <v>1</v>
      </c>
    </row>
    <row r="96" spans="2:15" ht="39.6" x14ac:dyDescent="0.3">
      <c r="B96" s="23">
        <v>45995.750405092593</v>
      </c>
      <c r="C96" s="24" t="s">
        <v>295</v>
      </c>
      <c r="D96" s="24">
        <v>1600391773</v>
      </c>
      <c r="E96" s="25">
        <v>28949</v>
      </c>
      <c r="F96" s="24" t="s">
        <v>16</v>
      </c>
      <c r="G96" s="24" t="s">
        <v>17</v>
      </c>
      <c r="H96" s="24" t="s">
        <v>28</v>
      </c>
      <c r="I96" s="24" t="s">
        <v>25</v>
      </c>
      <c r="J96" s="24" t="s">
        <v>296</v>
      </c>
      <c r="K96" s="24">
        <v>995940939</v>
      </c>
      <c r="L96" s="26">
        <f t="shared" ca="1" si="5"/>
        <v>46</v>
      </c>
      <c r="M96" s="27" t="str">
        <f t="shared" ca="1" si="6"/>
        <v>MASTER C</v>
      </c>
      <c r="N96" s="26">
        <v>1</v>
      </c>
    </row>
    <row r="97" spans="2:15" ht="26.4" x14ac:dyDescent="0.3">
      <c r="B97" s="46">
        <v>45996.006851851853</v>
      </c>
      <c r="C97" s="34" t="s">
        <v>301</v>
      </c>
      <c r="D97" s="34">
        <v>1714123310</v>
      </c>
      <c r="E97" s="35">
        <v>29451</v>
      </c>
      <c r="F97" s="34" t="s">
        <v>16</v>
      </c>
      <c r="G97" s="34" t="s">
        <v>17</v>
      </c>
      <c r="H97" s="34" t="s">
        <v>28</v>
      </c>
      <c r="I97" s="34" t="s">
        <v>25</v>
      </c>
      <c r="J97" s="34" t="s">
        <v>302</v>
      </c>
      <c r="K97" s="34">
        <v>997260800</v>
      </c>
      <c r="L97" s="26">
        <f t="shared" ca="1" si="5"/>
        <v>45</v>
      </c>
      <c r="M97" s="27" t="str">
        <f t="shared" ca="1" si="6"/>
        <v>MASTER C</v>
      </c>
      <c r="N97" s="26">
        <v>1</v>
      </c>
    </row>
    <row r="98" spans="2:15" ht="26.4" x14ac:dyDescent="0.3">
      <c r="B98" s="46">
        <v>45996.463020833333</v>
      </c>
      <c r="C98" s="34" t="s">
        <v>305</v>
      </c>
      <c r="D98" s="34">
        <v>504351016</v>
      </c>
      <c r="E98" s="35">
        <v>36089</v>
      </c>
      <c r="F98" s="34" t="s">
        <v>16</v>
      </c>
      <c r="G98" s="34" t="s">
        <v>17</v>
      </c>
      <c r="H98" s="34" t="s">
        <v>18</v>
      </c>
      <c r="I98" s="34" t="s">
        <v>25</v>
      </c>
      <c r="J98" s="34" t="s">
        <v>306</v>
      </c>
      <c r="K98" s="34">
        <v>992712171</v>
      </c>
      <c r="L98" s="26">
        <f t="shared" ca="1" si="5"/>
        <v>27</v>
      </c>
      <c r="M98" s="27" t="str">
        <f t="shared" ca="1" si="6"/>
        <v>MASTER A</v>
      </c>
      <c r="N98" s="26">
        <v>1</v>
      </c>
    </row>
    <row r="99" spans="2:15" ht="26.4" x14ac:dyDescent="0.3">
      <c r="B99" s="23">
        <v>45996.472870370373</v>
      </c>
      <c r="C99" s="24" t="s">
        <v>307</v>
      </c>
      <c r="D99" s="24">
        <v>502914773</v>
      </c>
      <c r="E99" s="25">
        <v>36526</v>
      </c>
      <c r="F99" s="24" t="s">
        <v>16</v>
      </c>
      <c r="G99" s="24" t="s">
        <v>17</v>
      </c>
      <c r="H99" s="24" t="s">
        <v>18</v>
      </c>
      <c r="I99" s="24" t="s">
        <v>25</v>
      </c>
      <c r="J99" s="24" t="s">
        <v>308</v>
      </c>
      <c r="K99" s="24">
        <v>995016471</v>
      </c>
      <c r="L99" s="26">
        <f t="shared" ca="1" si="5"/>
        <v>25</v>
      </c>
      <c r="M99" s="27" t="str">
        <f t="shared" ca="1" si="6"/>
        <v>MASTER A</v>
      </c>
      <c r="N99" s="26">
        <v>1</v>
      </c>
    </row>
    <row r="100" spans="2:15" ht="39.6" x14ac:dyDescent="0.3">
      <c r="B100" s="46">
        <v>45996.590532407405</v>
      </c>
      <c r="C100" s="34" t="s">
        <v>312</v>
      </c>
      <c r="D100" s="34">
        <v>604084442</v>
      </c>
      <c r="E100" s="35">
        <v>33508</v>
      </c>
      <c r="F100" s="34" t="s">
        <v>16</v>
      </c>
      <c r="G100" s="34" t="s">
        <v>17</v>
      </c>
      <c r="H100" s="34" t="s">
        <v>18</v>
      </c>
      <c r="I100" s="34" t="s">
        <v>19</v>
      </c>
      <c r="J100" s="34" t="s">
        <v>313</v>
      </c>
      <c r="K100" s="34">
        <v>995419362</v>
      </c>
      <c r="L100" s="26">
        <f t="shared" ca="1" si="5"/>
        <v>34</v>
      </c>
      <c r="M100" s="27" t="str">
        <f t="shared" ca="1" si="6"/>
        <v>MASTER B</v>
      </c>
      <c r="N100" s="26">
        <v>1</v>
      </c>
    </row>
    <row r="101" spans="2:15" ht="26.4" x14ac:dyDescent="0.3">
      <c r="B101" s="23">
        <v>45996.593159722222</v>
      </c>
      <c r="C101" s="24" t="s">
        <v>314</v>
      </c>
      <c r="D101" s="24">
        <v>1805051289</v>
      </c>
      <c r="E101" s="25">
        <v>33738</v>
      </c>
      <c r="F101" s="24" t="s">
        <v>35</v>
      </c>
      <c r="G101" s="24" t="s">
        <v>17</v>
      </c>
      <c r="H101" s="24" t="s">
        <v>18</v>
      </c>
      <c r="I101" s="24" t="s">
        <v>36</v>
      </c>
      <c r="J101" s="24" t="s">
        <v>315</v>
      </c>
      <c r="K101" s="24">
        <v>983172163</v>
      </c>
      <c r="L101" s="26">
        <f t="shared" ca="1" si="5"/>
        <v>33</v>
      </c>
      <c r="M101" s="27" t="str">
        <f t="shared" ca="1" si="6"/>
        <v>MASTER B</v>
      </c>
      <c r="N101" s="26">
        <v>1</v>
      </c>
    </row>
    <row r="102" spans="2:15" ht="39.6" x14ac:dyDescent="0.3">
      <c r="B102" s="46">
        <v>45996.692928240744</v>
      </c>
      <c r="C102" s="34" t="s">
        <v>320</v>
      </c>
      <c r="D102" s="34">
        <v>1600201865</v>
      </c>
      <c r="E102" s="35">
        <v>24509</v>
      </c>
      <c r="F102" s="34" t="s">
        <v>35</v>
      </c>
      <c r="G102" s="34" t="s">
        <v>17</v>
      </c>
      <c r="H102" s="34" t="s">
        <v>28</v>
      </c>
      <c r="I102" s="34" t="s">
        <v>19</v>
      </c>
      <c r="J102" s="34" t="s">
        <v>321</v>
      </c>
      <c r="K102" s="34">
        <v>991163339</v>
      </c>
      <c r="L102" s="26">
        <f t="shared" ca="1" si="5"/>
        <v>58</v>
      </c>
      <c r="M102" s="27" t="str">
        <f t="shared" ca="1" si="6"/>
        <v>MASTER C</v>
      </c>
      <c r="N102" s="26">
        <v>1</v>
      </c>
    </row>
    <row r="103" spans="2:15" ht="39.6" x14ac:dyDescent="0.3">
      <c r="B103" s="23">
        <v>45996.697650462964</v>
      </c>
      <c r="C103" s="24" t="s">
        <v>322</v>
      </c>
      <c r="D103" s="24">
        <v>1804697769</v>
      </c>
      <c r="E103" s="25">
        <v>33615</v>
      </c>
      <c r="F103" s="24" t="s">
        <v>35</v>
      </c>
      <c r="G103" s="24" t="s">
        <v>17</v>
      </c>
      <c r="H103" s="24"/>
      <c r="I103" s="24" t="s">
        <v>36</v>
      </c>
      <c r="J103" s="24" t="s">
        <v>323</v>
      </c>
      <c r="K103" s="24">
        <v>983278885</v>
      </c>
      <c r="L103" s="26">
        <f t="shared" ca="1" si="5"/>
        <v>33</v>
      </c>
      <c r="M103" s="27" t="str">
        <f t="shared" ca="1" si="6"/>
        <v>MASTER B</v>
      </c>
      <c r="N103" s="26">
        <v>1</v>
      </c>
    </row>
    <row r="104" spans="2:15" ht="39.6" x14ac:dyDescent="0.3">
      <c r="B104" s="46">
        <v>45996.746689814812</v>
      </c>
      <c r="C104" s="34" t="s">
        <v>329</v>
      </c>
      <c r="D104" s="34">
        <v>1600616336</v>
      </c>
      <c r="E104" s="35">
        <v>35084</v>
      </c>
      <c r="F104" s="34" t="s">
        <v>16</v>
      </c>
      <c r="G104" s="34" t="s">
        <v>17</v>
      </c>
      <c r="H104" s="34" t="s">
        <v>18</v>
      </c>
      <c r="I104" s="34" t="s">
        <v>25</v>
      </c>
      <c r="J104" s="34" t="s">
        <v>330</v>
      </c>
      <c r="K104" s="34">
        <v>983374981</v>
      </c>
      <c r="L104" s="26">
        <f t="shared" ca="1" si="5"/>
        <v>29</v>
      </c>
      <c r="M104" s="27" t="str">
        <f t="shared" ca="1" si="6"/>
        <v>MASTER A</v>
      </c>
      <c r="N104" s="26">
        <v>1</v>
      </c>
    </row>
    <row r="105" spans="2:15" ht="26.4" x14ac:dyDescent="0.3">
      <c r="B105" s="23">
        <v>45996.904120370367</v>
      </c>
      <c r="C105" s="24" t="s">
        <v>331</v>
      </c>
      <c r="D105" s="24">
        <v>1803818028</v>
      </c>
      <c r="E105" s="25">
        <v>30324</v>
      </c>
      <c r="F105" s="24" t="s">
        <v>16</v>
      </c>
      <c r="G105" s="24" t="s">
        <v>17</v>
      </c>
      <c r="H105" s="24" t="s">
        <v>28</v>
      </c>
      <c r="I105" s="24" t="s">
        <v>19</v>
      </c>
      <c r="J105" s="24" t="s">
        <v>317</v>
      </c>
      <c r="K105" s="24">
        <v>992228284</v>
      </c>
      <c r="L105" s="26">
        <f t="shared" ca="1" si="5"/>
        <v>42</v>
      </c>
      <c r="M105" s="27" t="str">
        <f t="shared" ca="1" si="6"/>
        <v>MASTER C</v>
      </c>
      <c r="N105" s="26">
        <v>1</v>
      </c>
    </row>
    <row r="106" spans="2:15" ht="39.6" x14ac:dyDescent="0.3">
      <c r="B106" s="46">
        <v>45996.9065625</v>
      </c>
      <c r="C106" s="34" t="s">
        <v>332</v>
      </c>
      <c r="D106" s="34">
        <v>185082474</v>
      </c>
      <c r="E106" s="35">
        <v>36216</v>
      </c>
      <c r="F106" s="34" t="s">
        <v>35</v>
      </c>
      <c r="G106" s="34" t="s">
        <v>24</v>
      </c>
      <c r="H106" s="34" t="s">
        <v>18</v>
      </c>
      <c r="I106" s="34" t="s">
        <v>36</v>
      </c>
      <c r="J106" s="34" t="s">
        <v>333</v>
      </c>
      <c r="K106" s="34">
        <v>998393728</v>
      </c>
      <c r="L106" s="26">
        <f t="shared" ca="1" si="5"/>
        <v>26</v>
      </c>
      <c r="M106" s="27" t="str">
        <f t="shared" ca="1" si="6"/>
        <v>MASTER A</v>
      </c>
      <c r="N106" s="26">
        <v>1</v>
      </c>
    </row>
    <row r="107" spans="2:15" ht="26.4" x14ac:dyDescent="0.3">
      <c r="B107" s="46">
        <v>45996.920023148145</v>
      </c>
      <c r="C107" s="34" t="s">
        <v>334</v>
      </c>
      <c r="D107" s="34">
        <v>1803534633</v>
      </c>
      <c r="E107" s="35">
        <v>31400</v>
      </c>
      <c r="F107" s="34" t="s">
        <v>35</v>
      </c>
      <c r="G107" s="34" t="s">
        <v>17</v>
      </c>
      <c r="H107" s="34" t="s">
        <v>18</v>
      </c>
      <c r="I107" s="34" t="s">
        <v>19</v>
      </c>
      <c r="J107" s="34" t="s">
        <v>335</v>
      </c>
      <c r="K107" s="34">
        <v>961128694</v>
      </c>
      <c r="L107" s="26">
        <f t="shared" ca="1" si="5"/>
        <v>40</v>
      </c>
      <c r="M107" s="27" t="str">
        <f t="shared" ca="1" si="6"/>
        <v>MASTER B</v>
      </c>
      <c r="N107" s="26">
        <v>1</v>
      </c>
    </row>
    <row r="108" spans="2:15" ht="39.6" x14ac:dyDescent="0.3">
      <c r="B108" s="23">
        <v>45996.926539351851</v>
      </c>
      <c r="C108" s="24" t="s">
        <v>336</v>
      </c>
      <c r="D108" s="24">
        <v>1804709291</v>
      </c>
      <c r="E108" s="25">
        <v>34904</v>
      </c>
      <c r="F108" s="24" t="s">
        <v>35</v>
      </c>
      <c r="G108" s="24" t="s">
        <v>17</v>
      </c>
      <c r="H108" s="24" t="s">
        <v>18</v>
      </c>
      <c r="I108" s="24" t="s">
        <v>76</v>
      </c>
      <c r="J108" s="24" t="s">
        <v>337</v>
      </c>
      <c r="K108" s="24">
        <v>983841313</v>
      </c>
      <c r="L108" s="26">
        <f t="shared" ca="1" si="5"/>
        <v>30</v>
      </c>
      <c r="M108" s="27" t="str">
        <f t="shared" ca="1" si="6"/>
        <v>MASTER A</v>
      </c>
      <c r="N108" s="26">
        <v>1</v>
      </c>
    </row>
    <row r="109" spans="2:15" ht="26.4" x14ac:dyDescent="0.3">
      <c r="B109" s="46">
        <v>45996.92763888889</v>
      </c>
      <c r="C109" s="34" t="s">
        <v>338</v>
      </c>
      <c r="D109" s="34">
        <v>501291355</v>
      </c>
      <c r="E109" s="35">
        <v>22894</v>
      </c>
      <c r="F109" s="34" t="s">
        <v>16</v>
      </c>
      <c r="G109" s="34" t="s">
        <v>17</v>
      </c>
      <c r="H109" s="34" t="s">
        <v>28</v>
      </c>
      <c r="I109" s="34" t="s">
        <v>36</v>
      </c>
      <c r="J109" s="34" t="s">
        <v>339</v>
      </c>
      <c r="K109" s="34">
        <v>995565218</v>
      </c>
      <c r="L109" s="26">
        <f t="shared" ca="1" si="5"/>
        <v>63</v>
      </c>
      <c r="M109" s="27" t="str">
        <f t="shared" ca="1" si="6"/>
        <v>MASTER C</v>
      </c>
      <c r="N109" s="26">
        <v>1</v>
      </c>
    </row>
    <row r="110" spans="2:15" ht="26.4" x14ac:dyDescent="0.3">
      <c r="B110" s="23">
        <v>45996.930046296293</v>
      </c>
      <c r="C110" s="24" t="s">
        <v>340</v>
      </c>
      <c r="D110" s="24">
        <v>1850198811</v>
      </c>
      <c r="E110" s="25">
        <v>38117</v>
      </c>
      <c r="F110" s="24" t="s">
        <v>16</v>
      </c>
      <c r="G110" s="24" t="s">
        <v>17</v>
      </c>
      <c r="H110" s="24" t="s">
        <v>18</v>
      </c>
      <c r="I110" s="24" t="s">
        <v>25</v>
      </c>
      <c r="J110" s="24" t="s">
        <v>339</v>
      </c>
      <c r="K110" s="24">
        <v>987747743</v>
      </c>
      <c r="L110" s="26">
        <f t="shared" ca="1" si="5"/>
        <v>21</v>
      </c>
      <c r="M110" s="27" t="str">
        <f t="shared" ca="1" si="6"/>
        <v>MASTER A</v>
      </c>
      <c r="N110" s="26">
        <v>1</v>
      </c>
    </row>
    <row r="111" spans="2:15" ht="26.4" x14ac:dyDescent="0.3">
      <c r="B111" s="23">
        <v>45996.931805555556</v>
      </c>
      <c r="C111" s="24" t="s">
        <v>341</v>
      </c>
      <c r="D111" s="24">
        <v>1803872132</v>
      </c>
      <c r="E111" s="25">
        <v>34228</v>
      </c>
      <c r="F111" s="24" t="s">
        <v>16</v>
      </c>
      <c r="G111" s="24" t="s">
        <v>17</v>
      </c>
      <c r="H111" s="24" t="s">
        <v>18</v>
      </c>
      <c r="I111" s="24" t="s">
        <v>118</v>
      </c>
      <c r="J111" s="24" t="s">
        <v>339</v>
      </c>
      <c r="K111" s="24">
        <v>995565218</v>
      </c>
      <c r="L111" s="26">
        <f t="shared" ca="1" si="5"/>
        <v>32</v>
      </c>
      <c r="M111" s="27" t="str">
        <f t="shared" ca="1" si="6"/>
        <v>MASTER B</v>
      </c>
      <c r="N111" s="26">
        <v>1</v>
      </c>
    </row>
    <row r="112" spans="2:15" ht="39.6" x14ac:dyDescent="0.3">
      <c r="B112" s="23">
        <v>45996.95579861111</v>
      </c>
      <c r="C112" s="55" t="s">
        <v>342</v>
      </c>
      <c r="D112" s="24">
        <v>1600621203</v>
      </c>
      <c r="E112" s="25">
        <v>36967</v>
      </c>
      <c r="F112" s="24" t="s">
        <v>35</v>
      </c>
      <c r="G112" s="24" t="s">
        <v>17</v>
      </c>
      <c r="H112" s="24" t="s">
        <v>18</v>
      </c>
      <c r="I112" s="24" t="s">
        <v>76</v>
      </c>
      <c r="J112" s="24" t="s">
        <v>153</v>
      </c>
      <c r="K112" s="24">
        <v>960048871</v>
      </c>
      <c r="L112" s="26">
        <f t="shared" ref="L112:L113" ca="1" si="7">YEAR(TODAY())-YEAR(E112)</f>
        <v>24</v>
      </c>
      <c r="M112" s="27" t="str">
        <f t="shared" ca="1" si="6"/>
        <v>MASTER A</v>
      </c>
      <c r="N112" s="26">
        <v>1</v>
      </c>
      <c r="O112" t="s">
        <v>365</v>
      </c>
    </row>
    <row r="113" spans="2:15" ht="26.4" x14ac:dyDescent="0.3">
      <c r="B113" s="23">
        <v>45996.571435185186</v>
      </c>
      <c r="C113" s="24" t="s">
        <v>311</v>
      </c>
      <c r="D113" s="24">
        <v>1805037130</v>
      </c>
      <c r="E113" s="25">
        <v>36093</v>
      </c>
      <c r="F113" s="24" t="s">
        <v>35</v>
      </c>
      <c r="G113" s="24" t="s">
        <v>17</v>
      </c>
      <c r="H113" s="24"/>
      <c r="I113" s="24" t="s">
        <v>19</v>
      </c>
      <c r="J113" s="24" t="s">
        <v>62</v>
      </c>
      <c r="K113" s="24">
        <v>959963255</v>
      </c>
      <c r="L113" s="26">
        <f t="shared" ca="1" si="7"/>
        <v>27</v>
      </c>
      <c r="M113" s="27" t="str">
        <f t="shared" ca="1" si="6"/>
        <v>MASTER A</v>
      </c>
      <c r="N113" s="38">
        <v>1</v>
      </c>
    </row>
    <row r="114" spans="2:15" ht="26.4" x14ac:dyDescent="0.3">
      <c r="B114" s="23" t="s">
        <v>343</v>
      </c>
      <c r="C114" s="24" t="s">
        <v>385</v>
      </c>
      <c r="D114" s="24">
        <v>1803663549</v>
      </c>
      <c r="E114" s="25">
        <v>31971</v>
      </c>
      <c r="F114" s="24" t="s">
        <v>35</v>
      </c>
      <c r="G114" s="24" t="s">
        <v>17</v>
      </c>
      <c r="H114" s="24"/>
      <c r="I114" s="24" t="s">
        <v>36</v>
      </c>
      <c r="J114" s="24" t="s">
        <v>386</v>
      </c>
      <c r="K114" s="24">
        <v>987156130</v>
      </c>
      <c r="L114" s="26">
        <f t="shared" ref="L114:L144" ca="1" si="8">YEAR(TODAY())-YEAR(E114)</f>
        <v>38</v>
      </c>
      <c r="M114" s="27" t="str">
        <f t="shared" ca="1" si="6"/>
        <v>MASTER B</v>
      </c>
      <c r="N114" s="26">
        <v>1</v>
      </c>
    </row>
    <row r="115" spans="2:15" ht="52.8" x14ac:dyDescent="0.3">
      <c r="B115" s="23" t="s">
        <v>344</v>
      </c>
      <c r="C115" s="24" t="s">
        <v>390</v>
      </c>
      <c r="D115" s="24" t="s">
        <v>391</v>
      </c>
      <c r="E115" s="25">
        <v>32809</v>
      </c>
      <c r="F115" s="24" t="s">
        <v>16</v>
      </c>
      <c r="G115" s="24" t="s">
        <v>17</v>
      </c>
      <c r="H115" s="24"/>
      <c r="I115" s="24" t="s">
        <v>36</v>
      </c>
      <c r="J115" s="24" t="s">
        <v>392</v>
      </c>
      <c r="K115" s="24">
        <v>994281300</v>
      </c>
      <c r="L115" s="26">
        <f t="shared" ca="1" si="8"/>
        <v>36</v>
      </c>
      <c r="M115" s="27" t="str">
        <f t="shared" ca="1" si="6"/>
        <v>MASTER B</v>
      </c>
      <c r="N115" s="26">
        <v>1</v>
      </c>
    </row>
    <row r="116" spans="2:15" ht="39.6" x14ac:dyDescent="0.3">
      <c r="B116" s="23" t="s">
        <v>345</v>
      </c>
      <c r="C116" s="34" t="s">
        <v>396</v>
      </c>
      <c r="D116" s="34">
        <v>1805487996</v>
      </c>
      <c r="E116" s="35">
        <v>37144</v>
      </c>
      <c r="F116" s="34" t="s">
        <v>35</v>
      </c>
      <c r="G116" s="34" t="s">
        <v>17</v>
      </c>
      <c r="H116" s="28"/>
      <c r="I116" s="24" t="s">
        <v>36</v>
      </c>
      <c r="J116" s="34" t="s">
        <v>397</v>
      </c>
      <c r="K116" s="34">
        <v>979054594</v>
      </c>
      <c r="L116" s="26">
        <f t="shared" ca="1" si="8"/>
        <v>24</v>
      </c>
      <c r="M116" s="27" t="str">
        <f t="shared" ca="1" si="6"/>
        <v>MASTER A</v>
      </c>
      <c r="N116" s="26">
        <v>1</v>
      </c>
    </row>
    <row r="117" spans="2:15" ht="39.6" x14ac:dyDescent="0.3">
      <c r="B117" s="23" t="s">
        <v>346</v>
      </c>
      <c r="C117" s="34" t="s">
        <v>387</v>
      </c>
      <c r="D117" s="34">
        <v>1802149862</v>
      </c>
      <c r="E117" s="35">
        <v>25031</v>
      </c>
      <c r="F117" s="34" t="s">
        <v>16</v>
      </c>
      <c r="G117" s="34" t="s">
        <v>17</v>
      </c>
      <c r="H117" s="28"/>
      <c r="I117" s="24" t="s">
        <v>19</v>
      </c>
      <c r="J117" s="34" t="s">
        <v>388</v>
      </c>
      <c r="K117" s="34">
        <v>989710911</v>
      </c>
      <c r="L117" s="26">
        <f t="shared" ca="1" si="8"/>
        <v>57</v>
      </c>
      <c r="M117" s="27" t="str">
        <f t="shared" ca="1" si="6"/>
        <v>MASTER C</v>
      </c>
      <c r="N117" s="26">
        <v>1</v>
      </c>
    </row>
    <row r="118" spans="2:15" ht="26.4" x14ac:dyDescent="0.3">
      <c r="B118" s="23" t="s">
        <v>347</v>
      </c>
      <c r="C118" s="24" t="s">
        <v>395</v>
      </c>
      <c r="D118" s="24">
        <v>1801628387</v>
      </c>
      <c r="E118" s="25">
        <v>21968</v>
      </c>
      <c r="F118" s="24" t="s">
        <v>16</v>
      </c>
      <c r="G118" s="24" t="s">
        <v>17</v>
      </c>
      <c r="H118" s="28"/>
      <c r="I118" s="24" t="s">
        <v>19</v>
      </c>
      <c r="J118" s="24" t="s">
        <v>91</v>
      </c>
      <c r="K118" s="24">
        <v>998971042</v>
      </c>
      <c r="L118" s="26">
        <f t="shared" ca="1" si="8"/>
        <v>65</v>
      </c>
      <c r="M118" s="27" t="str">
        <f t="shared" ca="1" si="6"/>
        <v>MASTER C</v>
      </c>
      <c r="N118" s="26">
        <v>1</v>
      </c>
    </row>
    <row r="119" spans="2:15" ht="26.4" x14ac:dyDescent="0.3">
      <c r="B119" s="23" t="s">
        <v>348</v>
      </c>
      <c r="C119" s="24" t="s">
        <v>398</v>
      </c>
      <c r="D119" s="24">
        <v>1803539582</v>
      </c>
      <c r="E119" s="25">
        <v>30223</v>
      </c>
      <c r="F119" s="24" t="s">
        <v>16</v>
      </c>
      <c r="G119" s="24" t="s">
        <v>17</v>
      </c>
      <c r="H119" s="24" t="s">
        <v>28</v>
      </c>
      <c r="I119" s="24" t="s">
        <v>19</v>
      </c>
      <c r="J119" s="24" t="s">
        <v>399</v>
      </c>
      <c r="K119" s="24">
        <v>995496297</v>
      </c>
      <c r="L119" s="26">
        <f t="shared" ca="1" si="8"/>
        <v>43</v>
      </c>
      <c r="M119" s="27" t="str">
        <f t="shared" ca="1" si="6"/>
        <v>MASTER C</v>
      </c>
      <c r="N119" s="26">
        <v>1</v>
      </c>
    </row>
    <row r="120" spans="2:15" ht="39.6" x14ac:dyDescent="0.3">
      <c r="B120" s="23" t="s">
        <v>350</v>
      </c>
      <c r="C120" s="34" t="s">
        <v>404</v>
      </c>
      <c r="D120" s="34">
        <v>1804617833</v>
      </c>
      <c r="E120" s="35">
        <v>32885</v>
      </c>
      <c r="F120" s="34" t="s">
        <v>16</v>
      </c>
      <c r="G120" s="34" t="s">
        <v>17</v>
      </c>
      <c r="H120" s="28"/>
      <c r="I120" s="24" t="s">
        <v>19</v>
      </c>
      <c r="J120" s="34" t="s">
        <v>405</v>
      </c>
      <c r="K120" s="34">
        <v>998442023</v>
      </c>
      <c r="L120" s="26">
        <f t="shared" ca="1" si="8"/>
        <v>35</v>
      </c>
      <c r="M120" s="27" t="str">
        <f t="shared" ca="1" si="6"/>
        <v>MASTER B</v>
      </c>
      <c r="N120" s="26">
        <v>1</v>
      </c>
    </row>
    <row r="121" spans="2:15" ht="26.4" x14ac:dyDescent="0.3">
      <c r="B121" s="23" t="s">
        <v>352</v>
      </c>
      <c r="C121" s="34" t="s">
        <v>408</v>
      </c>
      <c r="D121" s="34">
        <v>1804663696</v>
      </c>
      <c r="E121" s="35">
        <v>33005</v>
      </c>
      <c r="F121" s="34" t="s">
        <v>35</v>
      </c>
      <c r="G121" s="34" t="s">
        <v>17</v>
      </c>
      <c r="H121" s="34" t="s">
        <v>18</v>
      </c>
      <c r="I121" s="36" t="s">
        <v>19</v>
      </c>
      <c r="J121" s="34" t="s">
        <v>409</v>
      </c>
      <c r="K121" s="34">
        <v>998829064</v>
      </c>
      <c r="L121" s="26">
        <f t="shared" ca="1" si="8"/>
        <v>35</v>
      </c>
      <c r="M121" s="27" t="str">
        <f t="shared" ca="1" si="6"/>
        <v>MASTER B</v>
      </c>
      <c r="N121" s="26">
        <v>1</v>
      </c>
    </row>
    <row r="122" spans="2:15" ht="39.6" x14ac:dyDescent="0.3">
      <c r="B122" s="23" t="s">
        <v>353</v>
      </c>
      <c r="C122" s="24" t="s">
        <v>454</v>
      </c>
      <c r="D122" s="24">
        <v>1803408309</v>
      </c>
      <c r="E122" s="25">
        <v>30003</v>
      </c>
      <c r="F122" s="24" t="s">
        <v>16</v>
      </c>
      <c r="G122" s="24" t="s">
        <v>17</v>
      </c>
      <c r="H122" s="24" t="s">
        <v>28</v>
      </c>
      <c r="I122" s="24" t="s">
        <v>19</v>
      </c>
      <c r="J122" s="24" t="s">
        <v>455</v>
      </c>
      <c r="K122" s="24">
        <v>993420671</v>
      </c>
      <c r="L122" s="26">
        <f t="shared" ca="1" si="8"/>
        <v>43</v>
      </c>
      <c r="M122" s="27" t="str">
        <f t="shared" ca="1" si="6"/>
        <v>MASTER C</v>
      </c>
      <c r="N122" s="26">
        <v>1</v>
      </c>
    </row>
    <row r="123" spans="2:15" ht="39.6" x14ac:dyDescent="0.3">
      <c r="B123" s="23" t="s">
        <v>354</v>
      </c>
      <c r="C123" s="34" t="s">
        <v>456</v>
      </c>
      <c r="D123" s="34">
        <v>603828229</v>
      </c>
      <c r="E123" s="35">
        <v>31162</v>
      </c>
      <c r="F123" s="34" t="s">
        <v>35</v>
      </c>
      <c r="G123" s="34" t="s">
        <v>17</v>
      </c>
      <c r="H123" s="34" t="s">
        <v>18</v>
      </c>
      <c r="I123" s="34" t="s">
        <v>19</v>
      </c>
      <c r="J123" s="34" t="s">
        <v>457</v>
      </c>
      <c r="K123" s="34">
        <v>987709545</v>
      </c>
      <c r="L123" s="26">
        <f t="shared" ca="1" si="8"/>
        <v>40</v>
      </c>
      <c r="M123" s="27" t="str">
        <f t="shared" ca="1" si="6"/>
        <v>MASTER B</v>
      </c>
      <c r="N123" s="26">
        <v>1</v>
      </c>
    </row>
    <row r="124" spans="2:15" x14ac:dyDescent="0.3">
      <c r="B124" s="23" t="s">
        <v>355</v>
      </c>
      <c r="C124" s="34" t="s">
        <v>461</v>
      </c>
      <c r="D124" s="28">
        <v>1803296142</v>
      </c>
      <c r="E124" s="37">
        <v>29168</v>
      </c>
      <c r="F124" s="24" t="s">
        <v>16</v>
      </c>
      <c r="G124" s="34" t="s">
        <v>17</v>
      </c>
      <c r="H124" s="28"/>
      <c r="I124" s="55" t="s">
        <v>25</v>
      </c>
      <c r="J124" s="28"/>
      <c r="K124" s="28" t="s">
        <v>460</v>
      </c>
      <c r="L124" s="26">
        <f t="shared" ca="1" si="8"/>
        <v>46</v>
      </c>
      <c r="M124" s="27" t="str">
        <f t="shared" ca="1" si="6"/>
        <v>MASTER C</v>
      </c>
      <c r="N124" s="26">
        <v>1</v>
      </c>
      <c r="O124" t="s">
        <v>365</v>
      </c>
    </row>
    <row r="125" spans="2:15" ht="40.200000000000003" thickBot="1" x14ac:dyDescent="0.35">
      <c r="B125" s="23" t="s">
        <v>356</v>
      </c>
      <c r="C125" s="34" t="s">
        <v>421</v>
      </c>
      <c r="D125" s="34">
        <v>602966095</v>
      </c>
      <c r="E125" s="35">
        <v>32280</v>
      </c>
      <c r="F125" s="34" t="s">
        <v>16</v>
      </c>
      <c r="G125" s="34" t="s">
        <v>17</v>
      </c>
      <c r="H125" s="28"/>
      <c r="I125" s="24" t="s">
        <v>25</v>
      </c>
      <c r="J125" s="34" t="s">
        <v>422</v>
      </c>
      <c r="K125" s="34">
        <v>999249936</v>
      </c>
      <c r="L125" s="26">
        <f t="shared" ca="1" si="8"/>
        <v>37</v>
      </c>
      <c r="M125" s="27" t="str">
        <f t="shared" ca="1" si="6"/>
        <v>MASTER B</v>
      </c>
      <c r="N125" s="26">
        <v>1</v>
      </c>
    </row>
    <row r="126" spans="2:15" ht="40.200000000000003" thickBot="1" x14ac:dyDescent="0.35">
      <c r="B126" s="23" t="s">
        <v>357</v>
      </c>
      <c r="C126" s="60" t="s">
        <v>55</v>
      </c>
      <c r="D126" s="60">
        <v>1805137138</v>
      </c>
      <c r="E126" s="61">
        <v>35929</v>
      </c>
      <c r="F126" s="60" t="s">
        <v>16</v>
      </c>
      <c r="G126" s="60" t="s">
        <v>17</v>
      </c>
      <c r="H126" s="60" t="s">
        <v>18</v>
      </c>
      <c r="I126" s="60" t="s">
        <v>25</v>
      </c>
      <c r="J126" s="60" t="s">
        <v>56</v>
      </c>
      <c r="K126" s="60">
        <v>987448603</v>
      </c>
      <c r="L126" s="26">
        <f t="shared" ca="1" si="8"/>
        <v>27</v>
      </c>
      <c r="M126" s="27" t="str">
        <f t="shared" ca="1" si="6"/>
        <v>MASTER A</v>
      </c>
      <c r="N126" s="26">
        <v>1</v>
      </c>
    </row>
    <row r="127" spans="2:15" ht="39.6" x14ac:dyDescent="0.3">
      <c r="B127" s="23" t="s">
        <v>358</v>
      </c>
      <c r="C127" s="34" t="s">
        <v>424</v>
      </c>
      <c r="D127" s="24">
        <v>603846015</v>
      </c>
      <c r="E127" s="25">
        <v>31000</v>
      </c>
      <c r="F127" s="24" t="s">
        <v>16</v>
      </c>
      <c r="G127" s="24" t="s">
        <v>17</v>
      </c>
      <c r="H127" s="28"/>
      <c r="I127" s="24" t="s">
        <v>25</v>
      </c>
      <c r="J127" s="24" t="s">
        <v>425</v>
      </c>
      <c r="K127" s="24">
        <v>984634867</v>
      </c>
      <c r="L127" s="26">
        <f t="shared" ca="1" si="8"/>
        <v>41</v>
      </c>
      <c r="M127" s="27" t="str">
        <f t="shared" ca="1" si="6"/>
        <v>MASTER C</v>
      </c>
      <c r="N127" s="26">
        <v>1</v>
      </c>
    </row>
    <row r="128" spans="2:15" ht="40.200000000000003" thickBot="1" x14ac:dyDescent="0.35">
      <c r="B128" s="23" t="s">
        <v>359</v>
      </c>
      <c r="C128" s="34" t="s">
        <v>452</v>
      </c>
      <c r="D128" s="34">
        <v>602681702</v>
      </c>
      <c r="E128" s="35">
        <v>26984</v>
      </c>
      <c r="F128" s="34" t="s">
        <v>16</v>
      </c>
      <c r="G128" s="34" t="s">
        <v>17</v>
      </c>
      <c r="H128" s="34"/>
      <c r="I128" s="34" t="s">
        <v>25</v>
      </c>
      <c r="J128" s="34" t="s">
        <v>453</v>
      </c>
      <c r="K128" s="34">
        <v>984105862</v>
      </c>
      <c r="L128" s="26">
        <f t="shared" ca="1" si="8"/>
        <v>52</v>
      </c>
      <c r="M128" s="27" t="str">
        <f t="shared" ca="1" si="6"/>
        <v>MASTER C</v>
      </c>
      <c r="N128" s="26">
        <v>1</v>
      </c>
    </row>
    <row r="129" spans="2:15" ht="27" thickBot="1" x14ac:dyDescent="0.35">
      <c r="B129" s="23" t="s">
        <v>360</v>
      </c>
      <c r="C129" s="28" t="s">
        <v>462</v>
      </c>
      <c r="D129" s="28">
        <v>1850341734</v>
      </c>
      <c r="E129" s="37">
        <v>37627</v>
      </c>
      <c r="F129" s="28" t="s">
        <v>16</v>
      </c>
      <c r="G129" s="28" t="s">
        <v>463</v>
      </c>
      <c r="H129" s="28"/>
      <c r="I129" s="33" t="s">
        <v>25</v>
      </c>
      <c r="J129" s="16" t="s">
        <v>464</v>
      </c>
      <c r="K129" s="28">
        <v>996293585</v>
      </c>
      <c r="L129" s="28"/>
      <c r="M129" s="27" t="str">
        <f t="shared" si="6"/>
        <v>JUVENIL</v>
      </c>
      <c r="N129" s="26">
        <v>1</v>
      </c>
    </row>
    <row r="130" spans="2:15" ht="26.4" x14ac:dyDescent="0.3">
      <c r="B130" s="23" t="s">
        <v>361</v>
      </c>
      <c r="C130" s="34" t="s">
        <v>393</v>
      </c>
      <c r="D130" s="34">
        <v>1600800492</v>
      </c>
      <c r="E130" s="35">
        <v>31730</v>
      </c>
      <c r="F130" s="34" t="s">
        <v>16</v>
      </c>
      <c r="G130" s="34" t="s">
        <v>17</v>
      </c>
      <c r="H130" s="28"/>
      <c r="I130" s="24" t="s">
        <v>118</v>
      </c>
      <c r="J130" s="34" t="s">
        <v>394</v>
      </c>
      <c r="K130" s="34">
        <v>996367148</v>
      </c>
      <c r="L130" s="26">
        <f t="shared" ca="1" si="8"/>
        <v>39</v>
      </c>
      <c r="M130" s="27" t="str">
        <f t="shared" ref="M130:M144" ca="1" si="9">IF(L130&lt;21,"JUVENIL",IF(L130&lt;31,"MASTER A",IF(L130&lt;41,"MASTER B","MASTER C")))</f>
        <v>MASTER B</v>
      </c>
      <c r="N130" s="26">
        <v>1</v>
      </c>
    </row>
    <row r="131" spans="2:15" ht="26.4" x14ac:dyDescent="0.3">
      <c r="B131" s="23" t="s">
        <v>362</v>
      </c>
      <c r="C131" s="34" t="s">
        <v>400</v>
      </c>
      <c r="D131" s="34">
        <v>1712732922</v>
      </c>
      <c r="E131" s="35">
        <v>27085</v>
      </c>
      <c r="F131" s="34" t="s">
        <v>16</v>
      </c>
      <c r="G131" s="34" t="s">
        <v>17</v>
      </c>
      <c r="H131" s="28"/>
      <c r="I131" s="55" t="s">
        <v>118</v>
      </c>
      <c r="J131" s="34" t="s">
        <v>401</v>
      </c>
      <c r="K131" s="34">
        <v>989165225</v>
      </c>
      <c r="L131" s="26">
        <f t="shared" ca="1" si="8"/>
        <v>51</v>
      </c>
      <c r="M131" s="27" t="str">
        <f t="shared" ca="1" si="9"/>
        <v>MASTER C</v>
      </c>
      <c r="N131" s="26">
        <v>1</v>
      </c>
    </row>
    <row r="132" spans="2:15" ht="39.6" x14ac:dyDescent="0.3">
      <c r="B132" s="50" t="s">
        <v>435</v>
      </c>
      <c r="C132" s="34" t="s">
        <v>430</v>
      </c>
      <c r="D132" s="24">
        <v>1804219556</v>
      </c>
      <c r="E132" s="25">
        <v>31835</v>
      </c>
      <c r="F132" s="24" t="s">
        <v>16</v>
      </c>
      <c r="G132" s="24" t="s">
        <v>17</v>
      </c>
      <c r="H132" s="28"/>
      <c r="I132" s="55" t="s">
        <v>25</v>
      </c>
      <c r="J132" s="24" t="s">
        <v>432</v>
      </c>
      <c r="K132" s="24">
        <v>995750727</v>
      </c>
      <c r="L132" s="26">
        <f t="shared" ca="1" si="8"/>
        <v>38</v>
      </c>
      <c r="M132" s="27" t="str">
        <f t="shared" ca="1" si="9"/>
        <v>MASTER B</v>
      </c>
      <c r="N132" s="26">
        <v>1</v>
      </c>
    </row>
    <row r="133" spans="2:15" ht="39.6" x14ac:dyDescent="0.3">
      <c r="B133" s="50" t="s">
        <v>436</v>
      </c>
      <c r="C133" s="34" t="s">
        <v>431</v>
      </c>
      <c r="D133" s="34">
        <v>606047629</v>
      </c>
      <c r="E133" s="35">
        <v>39322</v>
      </c>
      <c r="F133" s="34" t="s">
        <v>16</v>
      </c>
      <c r="G133" s="34" t="s">
        <v>17</v>
      </c>
      <c r="H133" s="34" t="s">
        <v>44</v>
      </c>
      <c r="I133" s="55" t="s">
        <v>19</v>
      </c>
      <c r="J133" s="34" t="s">
        <v>433</v>
      </c>
      <c r="K133" s="34" t="s">
        <v>434</v>
      </c>
      <c r="L133" s="26">
        <f t="shared" ca="1" si="8"/>
        <v>18</v>
      </c>
      <c r="M133" s="27" t="str">
        <f t="shared" ca="1" si="9"/>
        <v>JUVENIL</v>
      </c>
      <c r="N133" s="26">
        <v>1</v>
      </c>
    </row>
    <row r="134" spans="2:15" ht="39.6" x14ac:dyDescent="0.3">
      <c r="B134" s="50" t="s">
        <v>437</v>
      </c>
      <c r="C134" s="34" t="s">
        <v>413</v>
      </c>
      <c r="D134" s="34">
        <v>1400628952</v>
      </c>
      <c r="E134" s="35">
        <v>30599</v>
      </c>
      <c r="F134" s="34" t="s">
        <v>35</v>
      </c>
      <c r="G134" s="34" t="s">
        <v>17</v>
      </c>
      <c r="H134" s="28"/>
      <c r="I134" s="55" t="s">
        <v>36</v>
      </c>
      <c r="J134" s="34" t="s">
        <v>414</v>
      </c>
      <c r="K134" s="34">
        <v>998528611</v>
      </c>
      <c r="L134" s="26">
        <f t="shared" ca="1" si="8"/>
        <v>42</v>
      </c>
      <c r="M134" s="27" t="str">
        <f t="shared" ca="1" si="9"/>
        <v>MASTER C</v>
      </c>
      <c r="N134" s="26">
        <v>1</v>
      </c>
    </row>
    <row r="135" spans="2:15" ht="39.6" x14ac:dyDescent="0.3">
      <c r="B135" s="50" t="s">
        <v>438</v>
      </c>
      <c r="C135" s="34" t="s">
        <v>406</v>
      </c>
      <c r="D135" s="24">
        <v>1804895033</v>
      </c>
      <c r="E135" s="25">
        <v>37096</v>
      </c>
      <c r="F135" s="24" t="s">
        <v>35</v>
      </c>
      <c r="G135" s="24" t="s">
        <v>17</v>
      </c>
      <c r="H135" s="28"/>
      <c r="I135" s="55" t="s">
        <v>36</v>
      </c>
      <c r="J135" s="24" t="s">
        <v>407</v>
      </c>
      <c r="K135" s="24">
        <v>984796560</v>
      </c>
      <c r="L135" s="26">
        <f t="shared" ca="1" si="8"/>
        <v>24</v>
      </c>
      <c r="M135" s="27" t="str">
        <f t="shared" ca="1" si="9"/>
        <v>MASTER A</v>
      </c>
      <c r="N135" s="26">
        <v>1</v>
      </c>
    </row>
    <row r="136" spans="2:15" ht="39.6" x14ac:dyDescent="0.3">
      <c r="B136" s="50" t="s">
        <v>439</v>
      </c>
      <c r="C136" s="34" t="s">
        <v>419</v>
      </c>
      <c r="D136" s="24">
        <v>1650095530</v>
      </c>
      <c r="E136" s="25">
        <v>40177</v>
      </c>
      <c r="F136" s="24" t="s">
        <v>35</v>
      </c>
      <c r="G136" s="24" t="s">
        <v>17</v>
      </c>
      <c r="H136" s="28"/>
      <c r="I136" s="55" t="s">
        <v>76</v>
      </c>
      <c r="J136" s="24" t="s">
        <v>420</v>
      </c>
      <c r="K136" s="24">
        <v>979165835</v>
      </c>
      <c r="L136" s="26">
        <f t="shared" ca="1" si="8"/>
        <v>16</v>
      </c>
      <c r="M136" s="27" t="str">
        <f t="shared" ca="1" si="9"/>
        <v>JUVENIL</v>
      </c>
      <c r="N136" s="26">
        <v>1</v>
      </c>
    </row>
    <row r="137" spans="2:15" ht="39.6" x14ac:dyDescent="0.3">
      <c r="B137" s="50" t="s">
        <v>440</v>
      </c>
      <c r="C137" s="34" t="s">
        <v>423</v>
      </c>
      <c r="D137" s="24">
        <v>650065196</v>
      </c>
      <c r="E137" s="25">
        <v>40795</v>
      </c>
      <c r="F137" s="24" t="s">
        <v>16</v>
      </c>
      <c r="G137" s="24" t="s">
        <v>17</v>
      </c>
      <c r="H137" s="24" t="s">
        <v>44</v>
      </c>
      <c r="I137" s="55" t="s">
        <v>19</v>
      </c>
      <c r="J137" s="24" t="s">
        <v>422</v>
      </c>
      <c r="K137" s="24">
        <v>999249936</v>
      </c>
      <c r="L137" s="26">
        <f t="shared" ca="1" si="8"/>
        <v>14</v>
      </c>
      <c r="M137" s="27" t="str">
        <f t="shared" ca="1" si="9"/>
        <v>JUVENIL</v>
      </c>
      <c r="N137" s="26">
        <v>1</v>
      </c>
    </row>
    <row r="138" spans="2:15" ht="39.6" x14ac:dyDescent="0.3">
      <c r="B138" s="50" t="s">
        <v>441</v>
      </c>
      <c r="C138" s="34" t="s">
        <v>402</v>
      </c>
      <c r="D138" s="34">
        <v>1850068709</v>
      </c>
      <c r="E138" s="35">
        <v>36167</v>
      </c>
      <c r="F138" s="34" t="s">
        <v>35</v>
      </c>
      <c r="G138" s="34" t="s">
        <v>17</v>
      </c>
      <c r="H138" s="34" t="s">
        <v>18</v>
      </c>
      <c r="I138" s="55" t="s">
        <v>36</v>
      </c>
      <c r="J138" s="34" t="s">
        <v>403</v>
      </c>
      <c r="K138" s="34">
        <v>983125804</v>
      </c>
      <c r="L138" s="26">
        <f t="shared" ca="1" si="8"/>
        <v>26</v>
      </c>
      <c r="M138" s="27" t="str">
        <f t="shared" ca="1" si="9"/>
        <v>MASTER A</v>
      </c>
      <c r="N138" s="26">
        <v>1</v>
      </c>
    </row>
    <row r="139" spans="2:15" ht="26.4" x14ac:dyDescent="0.3">
      <c r="B139" s="50" t="s">
        <v>442</v>
      </c>
      <c r="C139" s="34" t="s">
        <v>415</v>
      </c>
      <c r="D139" s="24">
        <v>1850922327</v>
      </c>
      <c r="E139" s="25">
        <v>39140</v>
      </c>
      <c r="F139" s="24" t="s">
        <v>35</v>
      </c>
      <c r="G139" s="24" t="s">
        <v>17</v>
      </c>
      <c r="H139" s="24" t="s">
        <v>44</v>
      </c>
      <c r="I139" s="55" t="s">
        <v>36</v>
      </c>
      <c r="J139" s="24" t="s">
        <v>416</v>
      </c>
      <c r="K139" s="24" t="s">
        <v>417</v>
      </c>
      <c r="L139" s="26">
        <f t="shared" ca="1" si="8"/>
        <v>18</v>
      </c>
      <c r="M139" s="27" t="str">
        <f t="shared" ca="1" si="9"/>
        <v>JUVENIL</v>
      </c>
      <c r="N139" s="26">
        <v>1</v>
      </c>
    </row>
    <row r="140" spans="2:15" ht="39.6" x14ac:dyDescent="0.3">
      <c r="B140" s="50" t="s">
        <v>443</v>
      </c>
      <c r="C140" s="34" t="s">
        <v>426</v>
      </c>
      <c r="D140" s="34">
        <v>503621047</v>
      </c>
      <c r="E140" s="35">
        <v>33898</v>
      </c>
      <c r="F140" s="34" t="s">
        <v>35</v>
      </c>
      <c r="G140" s="34" t="s">
        <v>17</v>
      </c>
      <c r="H140" s="34" t="s">
        <v>18</v>
      </c>
      <c r="I140" s="55" t="s">
        <v>19</v>
      </c>
      <c r="J140" s="34" t="s">
        <v>427</v>
      </c>
      <c r="K140" s="34">
        <v>983463768</v>
      </c>
      <c r="L140" s="26">
        <f t="shared" ca="1" si="8"/>
        <v>33</v>
      </c>
      <c r="M140" s="27" t="str">
        <f t="shared" ca="1" si="9"/>
        <v>MASTER B</v>
      </c>
      <c r="N140" s="26">
        <v>1</v>
      </c>
    </row>
    <row r="141" spans="2:15" ht="39.6" x14ac:dyDescent="0.3">
      <c r="B141" s="50" t="s">
        <v>444</v>
      </c>
      <c r="C141" s="34" t="s">
        <v>410</v>
      </c>
      <c r="D141" s="24">
        <v>1600682379</v>
      </c>
      <c r="E141" s="25">
        <v>33044</v>
      </c>
      <c r="F141" s="24" t="s">
        <v>35</v>
      </c>
      <c r="G141" s="24" t="s">
        <v>17</v>
      </c>
      <c r="H141" s="28"/>
      <c r="I141" s="55" t="s">
        <v>76</v>
      </c>
      <c r="J141" s="24" t="s">
        <v>411</v>
      </c>
      <c r="K141" s="24" t="s">
        <v>412</v>
      </c>
      <c r="L141" s="26">
        <f t="shared" ca="1" si="8"/>
        <v>35</v>
      </c>
      <c r="M141" s="27" t="str">
        <f t="shared" ca="1" si="9"/>
        <v>MASTER B</v>
      </c>
      <c r="N141" s="26">
        <v>1</v>
      </c>
    </row>
    <row r="142" spans="2:15" ht="15" thickBot="1" x14ac:dyDescent="0.35">
      <c r="B142" s="50" t="s">
        <v>449</v>
      </c>
      <c r="C142" s="62" t="s">
        <v>477</v>
      </c>
      <c r="D142" s="28">
        <v>503026908</v>
      </c>
      <c r="E142" s="37">
        <v>31100</v>
      </c>
      <c r="F142" s="28" t="s">
        <v>16</v>
      </c>
      <c r="G142" s="24" t="s">
        <v>17</v>
      </c>
      <c r="H142" s="28"/>
      <c r="I142" s="33" t="s">
        <v>36</v>
      </c>
      <c r="J142" s="28"/>
      <c r="K142" s="28">
        <v>995384387</v>
      </c>
      <c r="L142" s="26">
        <f t="shared" ca="1" si="8"/>
        <v>40</v>
      </c>
      <c r="M142" s="27" t="str">
        <f t="shared" ca="1" si="9"/>
        <v>MASTER B</v>
      </c>
      <c r="N142" s="26">
        <v>1</v>
      </c>
      <c r="O142" t="s">
        <v>365</v>
      </c>
    </row>
    <row r="143" spans="2:15" ht="40.200000000000003" thickBot="1" x14ac:dyDescent="0.35">
      <c r="B143" s="50" t="s">
        <v>450</v>
      </c>
      <c r="C143" s="28" t="s">
        <v>465</v>
      </c>
      <c r="D143" s="28">
        <v>1804718094</v>
      </c>
      <c r="E143" s="37">
        <v>37418</v>
      </c>
      <c r="F143" s="28" t="s">
        <v>16</v>
      </c>
      <c r="G143" s="24" t="s">
        <v>17</v>
      </c>
      <c r="H143" s="28" t="s">
        <v>18</v>
      </c>
      <c r="I143" s="33" t="s">
        <v>19</v>
      </c>
      <c r="J143" s="16" t="s">
        <v>466</v>
      </c>
      <c r="K143" s="28">
        <v>994122534</v>
      </c>
      <c r="L143" s="26">
        <f t="shared" ca="1" si="8"/>
        <v>23</v>
      </c>
      <c r="M143" s="27" t="str">
        <f t="shared" ca="1" si="9"/>
        <v>MASTER A</v>
      </c>
      <c r="N143" s="26">
        <v>1</v>
      </c>
    </row>
    <row r="144" spans="2:15" x14ac:dyDescent="0.3">
      <c r="B144" s="50" t="s">
        <v>451</v>
      </c>
      <c r="C144" s="62" t="s">
        <v>478</v>
      </c>
      <c r="D144" s="28">
        <v>1805523378</v>
      </c>
      <c r="E144" s="37">
        <v>36362</v>
      </c>
      <c r="F144" s="28" t="s">
        <v>35</v>
      </c>
      <c r="G144" s="24" t="s">
        <v>17</v>
      </c>
      <c r="H144" s="28"/>
      <c r="I144" s="33" t="s">
        <v>19</v>
      </c>
      <c r="J144" s="28"/>
      <c r="K144" s="63" t="s">
        <v>479</v>
      </c>
      <c r="L144" s="26">
        <f t="shared" ca="1" si="8"/>
        <v>26</v>
      </c>
      <c r="M144" s="27" t="str">
        <f t="shared" ca="1" si="9"/>
        <v>MASTER A</v>
      </c>
      <c r="N144" s="26">
        <v>1</v>
      </c>
      <c r="O144" t="s">
        <v>365</v>
      </c>
    </row>
    <row r="145" spans="14:14" x14ac:dyDescent="0.3">
      <c r="N145" s="56">
        <f>SUM(N4:N144)</f>
        <v>141</v>
      </c>
    </row>
  </sheetData>
  <autoFilter ref="A3:O145" xr:uid="{04483FD5-4170-4D4C-9202-B24537A688FD}"/>
  <phoneticPr fontId="9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185A-C0AA-4EA1-A958-331FE09C958C}">
  <dimension ref="A2:O57"/>
  <sheetViews>
    <sheetView topLeftCell="B49" zoomScaleNormal="100" workbookViewId="0">
      <selection activeCell="B57" sqref="B57:N57"/>
    </sheetView>
  </sheetViews>
  <sheetFormatPr baseColWidth="10" defaultRowHeight="14.4" x14ac:dyDescent="0.3"/>
  <cols>
    <col min="1" max="1" width="4.44140625" hidden="1" customWidth="1"/>
    <col min="2" max="2" width="17.88671875" customWidth="1"/>
    <col min="3" max="3" width="23.109375" customWidth="1"/>
    <col min="4" max="4" width="13.21875" customWidth="1"/>
    <col min="8" max="8" width="0" hidden="1" customWidth="1"/>
    <col min="11" max="11" width="17.44140625" customWidth="1"/>
    <col min="12" max="12" width="12.88671875" customWidth="1"/>
  </cols>
  <sheetData>
    <row r="2" spans="1:14" ht="15" thickBot="1" x14ac:dyDescent="0.35"/>
    <row r="3" spans="1:14" ht="28.2" thickBot="1" x14ac:dyDescent="0.3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8" t="s">
        <v>264</v>
      </c>
      <c r="M3" s="18" t="s">
        <v>265</v>
      </c>
    </row>
    <row r="4" spans="1:14" ht="42" thickBot="1" x14ac:dyDescent="0.35">
      <c r="A4">
        <v>1</v>
      </c>
      <c r="B4" s="8">
        <v>45959.610196759262</v>
      </c>
      <c r="C4" s="9" t="s">
        <v>23</v>
      </c>
      <c r="D4" s="9">
        <v>504150319</v>
      </c>
      <c r="E4" s="10">
        <v>34463</v>
      </c>
      <c r="F4" s="9" t="s">
        <v>16</v>
      </c>
      <c r="G4" s="9" t="s">
        <v>24</v>
      </c>
      <c r="H4" s="9" t="s">
        <v>18</v>
      </c>
      <c r="I4" s="9" t="s">
        <v>25</v>
      </c>
      <c r="J4" s="9" t="s">
        <v>26</v>
      </c>
      <c r="K4" s="9">
        <v>979181025</v>
      </c>
      <c r="L4" s="20">
        <f ca="1">YEAR(TODAY())-YEAR(E4)</f>
        <v>31</v>
      </c>
      <c r="M4" s="21" t="str">
        <f ca="1">IF(L4&lt;21,"JUVENIL",IF(L4&lt;40,"MASTER A","MASTER B"))</f>
        <v>MASTER A</v>
      </c>
      <c r="N4">
        <v>1</v>
      </c>
    </row>
    <row r="5" spans="1:14" ht="42" thickBot="1" x14ac:dyDescent="0.35">
      <c r="A5">
        <v>2</v>
      </c>
      <c r="B5" s="8">
        <v>45966.446122685185</v>
      </c>
      <c r="C5" s="9" t="s">
        <v>30</v>
      </c>
      <c r="D5" s="9">
        <v>1500858988</v>
      </c>
      <c r="E5" s="10">
        <v>37673</v>
      </c>
      <c r="F5" s="9" t="s">
        <v>16</v>
      </c>
      <c r="G5" s="9" t="s">
        <v>24</v>
      </c>
      <c r="H5" s="9" t="s">
        <v>18</v>
      </c>
      <c r="I5" s="9" t="s">
        <v>25</v>
      </c>
      <c r="J5" s="9" t="s">
        <v>31</v>
      </c>
      <c r="K5" s="9">
        <v>959425623</v>
      </c>
      <c r="L5" s="20">
        <f t="shared" ref="L5:L36" ca="1" si="0">YEAR(TODAY())-YEAR(E5)</f>
        <v>22</v>
      </c>
      <c r="M5" s="21" t="str">
        <f t="shared" ref="M5:M36" ca="1" si="1">IF(L5&lt;21,"JUVENIL",IF(L5&lt;40,"MASTER A","MASTER B"))</f>
        <v>MASTER A</v>
      </c>
      <c r="N5">
        <v>1</v>
      </c>
    </row>
    <row r="6" spans="1:14" ht="42" thickBot="1" x14ac:dyDescent="0.35">
      <c r="A6">
        <v>3</v>
      </c>
      <c r="B6" s="4">
        <v>45967.932037037041</v>
      </c>
      <c r="C6" s="5" t="s">
        <v>34</v>
      </c>
      <c r="D6" s="5">
        <v>1803640430</v>
      </c>
      <c r="E6" s="6">
        <v>31650</v>
      </c>
      <c r="F6" s="5" t="s">
        <v>35</v>
      </c>
      <c r="G6" s="5" t="s">
        <v>24</v>
      </c>
      <c r="H6" s="5" t="s">
        <v>18</v>
      </c>
      <c r="I6" s="5" t="s">
        <v>36</v>
      </c>
      <c r="J6" s="5" t="s">
        <v>37</v>
      </c>
      <c r="K6" s="5">
        <v>983356032</v>
      </c>
      <c r="L6" s="20">
        <f t="shared" ca="1" si="0"/>
        <v>39</v>
      </c>
      <c r="M6" s="21" t="str">
        <f t="shared" ca="1" si="1"/>
        <v>MASTER A</v>
      </c>
      <c r="N6">
        <v>1</v>
      </c>
    </row>
    <row r="7" spans="1:14" ht="28.2" thickBot="1" x14ac:dyDescent="0.35">
      <c r="A7">
        <v>4</v>
      </c>
      <c r="B7" s="4">
        <v>45969.784745370373</v>
      </c>
      <c r="C7" s="5" t="s">
        <v>40</v>
      </c>
      <c r="D7" s="5">
        <v>912899390</v>
      </c>
      <c r="E7" s="6">
        <v>25420</v>
      </c>
      <c r="F7" s="5" t="s">
        <v>35</v>
      </c>
      <c r="G7" s="5" t="s">
        <v>24</v>
      </c>
      <c r="H7" s="5" t="s">
        <v>41</v>
      </c>
      <c r="I7" s="5" t="s">
        <v>36</v>
      </c>
      <c r="J7" s="5" t="s">
        <v>42</v>
      </c>
      <c r="K7" s="5">
        <v>996519496</v>
      </c>
      <c r="L7" s="20">
        <f t="shared" ca="1" si="0"/>
        <v>56</v>
      </c>
      <c r="M7" s="21" t="str">
        <f t="shared" ca="1" si="1"/>
        <v>MASTER B</v>
      </c>
      <c r="N7">
        <v>1</v>
      </c>
    </row>
    <row r="8" spans="1:14" ht="42" thickBot="1" x14ac:dyDescent="0.35">
      <c r="A8">
        <v>5</v>
      </c>
      <c r="B8" s="8">
        <v>45975.353622685187</v>
      </c>
      <c r="C8" s="9" t="s">
        <v>53</v>
      </c>
      <c r="D8" s="9">
        <v>604066852</v>
      </c>
      <c r="E8" s="10">
        <v>31714</v>
      </c>
      <c r="F8" s="9" t="s">
        <v>16</v>
      </c>
      <c r="G8" s="9" t="s">
        <v>24</v>
      </c>
      <c r="H8" s="9" t="s">
        <v>18</v>
      </c>
      <c r="I8" s="9" t="s">
        <v>19</v>
      </c>
      <c r="J8" s="9" t="s">
        <v>54</v>
      </c>
      <c r="K8" s="9">
        <v>995952248</v>
      </c>
      <c r="L8" s="20">
        <f t="shared" ca="1" si="0"/>
        <v>39</v>
      </c>
      <c r="M8" s="21" t="str">
        <f t="shared" ca="1" si="1"/>
        <v>MASTER A</v>
      </c>
      <c r="N8">
        <v>1</v>
      </c>
    </row>
    <row r="9" spans="1:14" ht="28.2" thickBot="1" x14ac:dyDescent="0.35">
      <c r="A9">
        <v>6</v>
      </c>
      <c r="B9" s="8">
        <v>45975.864733796298</v>
      </c>
      <c r="C9" s="9" t="s">
        <v>61</v>
      </c>
      <c r="D9" s="9">
        <v>1804687752</v>
      </c>
      <c r="E9" s="10">
        <v>33927</v>
      </c>
      <c r="F9" s="9" t="s">
        <v>16</v>
      </c>
      <c r="G9" s="9" t="s">
        <v>24</v>
      </c>
      <c r="H9" s="9" t="s">
        <v>18</v>
      </c>
      <c r="I9" s="9" t="s">
        <v>25</v>
      </c>
      <c r="J9" s="9" t="s">
        <v>62</v>
      </c>
      <c r="K9" s="9">
        <v>987010844</v>
      </c>
      <c r="L9" s="20">
        <f t="shared" ca="1" si="0"/>
        <v>33</v>
      </c>
      <c r="M9" s="21" t="str">
        <f t="shared" ca="1" si="1"/>
        <v>MASTER A</v>
      </c>
      <c r="N9">
        <v>1</v>
      </c>
    </row>
    <row r="10" spans="1:14" ht="42" thickBot="1" x14ac:dyDescent="0.35">
      <c r="A10">
        <v>7</v>
      </c>
      <c r="B10" s="8">
        <v>45979.46502314815</v>
      </c>
      <c r="C10" s="9" t="s">
        <v>69</v>
      </c>
      <c r="D10" s="9">
        <v>1805417399</v>
      </c>
      <c r="E10" s="10">
        <v>35407</v>
      </c>
      <c r="F10" s="9" t="s">
        <v>16</v>
      </c>
      <c r="G10" s="9" t="s">
        <v>24</v>
      </c>
      <c r="H10" s="9" t="s">
        <v>18</v>
      </c>
      <c r="I10" s="9" t="s">
        <v>19</v>
      </c>
      <c r="J10" s="9" t="s">
        <v>70</v>
      </c>
      <c r="K10" s="9">
        <v>959610416</v>
      </c>
      <c r="L10" s="20">
        <f t="shared" ca="1" si="0"/>
        <v>29</v>
      </c>
      <c r="M10" s="21" t="str">
        <f t="shared" ca="1" si="1"/>
        <v>MASTER A</v>
      </c>
      <c r="N10">
        <v>1</v>
      </c>
    </row>
    <row r="11" spans="1:14" ht="42" thickBot="1" x14ac:dyDescent="0.35">
      <c r="A11">
        <v>9</v>
      </c>
      <c r="B11" s="4">
        <v>45981.625833333332</v>
      </c>
      <c r="C11" s="5" t="s">
        <v>71</v>
      </c>
      <c r="D11" s="5">
        <v>1718625377</v>
      </c>
      <c r="E11" s="6">
        <v>31741</v>
      </c>
      <c r="F11" s="5" t="s">
        <v>16</v>
      </c>
      <c r="G11" s="5" t="s">
        <v>24</v>
      </c>
      <c r="H11" s="5" t="s">
        <v>18</v>
      </c>
      <c r="I11" s="5" t="s">
        <v>25</v>
      </c>
      <c r="J11" s="5" t="s">
        <v>72</v>
      </c>
      <c r="K11" s="5">
        <v>984547063</v>
      </c>
      <c r="L11" s="20">
        <f t="shared" ca="1" si="0"/>
        <v>39</v>
      </c>
      <c r="M11" s="21" t="str">
        <f t="shared" ca="1" si="1"/>
        <v>MASTER A</v>
      </c>
      <c r="N11">
        <v>1</v>
      </c>
    </row>
    <row r="12" spans="1:14" ht="28.2" thickBot="1" x14ac:dyDescent="0.35">
      <c r="A12">
        <v>12</v>
      </c>
      <c r="B12" s="4">
        <v>45985.464953703704</v>
      </c>
      <c r="C12" s="5" t="s">
        <v>92</v>
      </c>
      <c r="D12" s="5">
        <v>604701557</v>
      </c>
      <c r="E12" s="6">
        <v>34202</v>
      </c>
      <c r="F12" s="5" t="s">
        <v>16</v>
      </c>
      <c r="G12" s="5" t="s">
        <v>24</v>
      </c>
      <c r="H12" s="5" t="s">
        <v>18</v>
      </c>
      <c r="I12" s="5" t="s">
        <v>19</v>
      </c>
      <c r="J12" s="5" t="s">
        <v>93</v>
      </c>
      <c r="K12" s="5">
        <v>991465965</v>
      </c>
      <c r="L12" s="20">
        <f t="shared" ca="1" si="0"/>
        <v>32</v>
      </c>
      <c r="M12" s="21" t="str">
        <f t="shared" ca="1" si="1"/>
        <v>MASTER A</v>
      </c>
      <c r="N12">
        <v>1</v>
      </c>
    </row>
    <row r="13" spans="1:14" ht="42" thickBot="1" x14ac:dyDescent="0.35">
      <c r="A13">
        <v>13</v>
      </c>
      <c r="B13" s="8">
        <v>45985.815752314818</v>
      </c>
      <c r="C13" s="9" t="s">
        <v>122</v>
      </c>
      <c r="D13" s="9">
        <v>1804681425</v>
      </c>
      <c r="E13" s="10">
        <v>34723</v>
      </c>
      <c r="F13" s="9" t="s">
        <v>16</v>
      </c>
      <c r="G13" s="9" t="s">
        <v>24</v>
      </c>
      <c r="H13" s="9" t="s">
        <v>18</v>
      </c>
      <c r="I13" s="9" t="s">
        <v>19</v>
      </c>
      <c r="J13" s="9" t="s">
        <v>123</v>
      </c>
      <c r="K13" s="9">
        <v>984647592</v>
      </c>
      <c r="L13" s="20">
        <f t="shared" ca="1" si="0"/>
        <v>30</v>
      </c>
      <c r="M13" s="21" t="str">
        <f t="shared" ca="1" si="1"/>
        <v>MASTER A</v>
      </c>
      <c r="N13">
        <v>1</v>
      </c>
    </row>
    <row r="14" spans="1:14" ht="28.2" thickBot="1" x14ac:dyDescent="0.35">
      <c r="A14">
        <v>14</v>
      </c>
      <c r="B14" s="4">
        <v>45985.907314814816</v>
      </c>
      <c r="C14" s="5" t="s">
        <v>128</v>
      </c>
      <c r="D14" s="5">
        <v>1805388814</v>
      </c>
      <c r="E14" s="6">
        <v>38217</v>
      </c>
      <c r="F14" s="5" t="s">
        <v>35</v>
      </c>
      <c r="G14" s="5" t="s">
        <v>24</v>
      </c>
      <c r="H14" s="5" t="s">
        <v>18</v>
      </c>
      <c r="I14" s="5" t="s">
        <v>36</v>
      </c>
      <c r="J14" s="5" t="s">
        <v>129</v>
      </c>
      <c r="K14" s="5">
        <v>961322332</v>
      </c>
      <c r="L14" s="20">
        <f t="shared" ca="1" si="0"/>
        <v>21</v>
      </c>
      <c r="M14" s="21" t="str">
        <f t="shared" ca="1" si="1"/>
        <v>MASTER A</v>
      </c>
      <c r="N14">
        <v>1</v>
      </c>
    </row>
    <row r="15" spans="1:14" ht="42" thickBot="1" x14ac:dyDescent="0.35">
      <c r="A15">
        <v>15</v>
      </c>
      <c r="B15" s="8">
        <v>45985.909062500003</v>
      </c>
      <c r="C15" s="9" t="s">
        <v>130</v>
      </c>
      <c r="D15" s="9">
        <v>1805387105</v>
      </c>
      <c r="E15" s="10">
        <v>36953</v>
      </c>
      <c r="F15" s="9" t="s">
        <v>35</v>
      </c>
      <c r="G15" s="9" t="s">
        <v>24</v>
      </c>
      <c r="H15" s="9" t="s">
        <v>18</v>
      </c>
      <c r="I15" s="9" t="s">
        <v>19</v>
      </c>
      <c r="J15" s="9" t="s">
        <v>131</v>
      </c>
      <c r="K15" s="9">
        <v>995671202</v>
      </c>
      <c r="L15" s="20">
        <f t="shared" ca="1" si="0"/>
        <v>24</v>
      </c>
      <c r="M15" s="21" t="str">
        <f t="shared" ca="1" si="1"/>
        <v>MASTER A</v>
      </c>
      <c r="N15">
        <v>1</v>
      </c>
    </row>
    <row r="16" spans="1:14" ht="42" thickBot="1" x14ac:dyDescent="0.35">
      <c r="A16">
        <v>16</v>
      </c>
      <c r="B16" s="4">
        <v>45986.47415509259</v>
      </c>
      <c r="C16" s="5" t="s">
        <v>136</v>
      </c>
      <c r="D16" s="5">
        <v>1723213011</v>
      </c>
      <c r="E16" s="6">
        <v>31621</v>
      </c>
      <c r="F16" s="5" t="s">
        <v>35</v>
      </c>
      <c r="G16" s="5" t="s">
        <v>24</v>
      </c>
      <c r="H16" s="5" t="s">
        <v>18</v>
      </c>
      <c r="I16" s="5" t="s">
        <v>36</v>
      </c>
      <c r="J16" s="5" t="s">
        <v>137</v>
      </c>
      <c r="K16" s="5">
        <v>984521028</v>
      </c>
      <c r="L16" s="20">
        <f t="shared" ca="1" si="0"/>
        <v>39</v>
      </c>
      <c r="M16" s="21" t="str">
        <f t="shared" ca="1" si="1"/>
        <v>MASTER A</v>
      </c>
      <c r="N16">
        <v>1</v>
      </c>
    </row>
    <row r="17" spans="1:15" ht="42" thickBot="1" x14ac:dyDescent="0.35">
      <c r="A17">
        <v>17</v>
      </c>
      <c r="B17" s="8">
        <v>45986.481388888889</v>
      </c>
      <c r="C17" s="9" t="s">
        <v>138</v>
      </c>
      <c r="D17" s="9">
        <v>1803151933</v>
      </c>
      <c r="E17" s="10">
        <v>29193</v>
      </c>
      <c r="F17" s="9" t="s">
        <v>16</v>
      </c>
      <c r="G17" s="9" t="s">
        <v>24</v>
      </c>
      <c r="H17" s="9" t="s">
        <v>28</v>
      </c>
      <c r="I17" s="9" t="s">
        <v>19</v>
      </c>
      <c r="J17" s="9" t="s">
        <v>139</v>
      </c>
      <c r="K17" s="9">
        <v>999589553</v>
      </c>
      <c r="L17" s="20">
        <f t="shared" ca="1" si="0"/>
        <v>46</v>
      </c>
      <c r="M17" s="21" t="str">
        <f t="shared" ca="1" si="1"/>
        <v>MASTER B</v>
      </c>
      <c r="N17">
        <v>1</v>
      </c>
    </row>
    <row r="18" spans="1:15" ht="42" thickBot="1" x14ac:dyDescent="0.35">
      <c r="A18">
        <v>18</v>
      </c>
      <c r="B18" s="4">
        <v>45986.48505787037</v>
      </c>
      <c r="C18" s="5" t="s">
        <v>140</v>
      </c>
      <c r="D18" s="5">
        <v>1600745440</v>
      </c>
      <c r="E18" s="6">
        <v>33371</v>
      </c>
      <c r="F18" s="5" t="s">
        <v>16</v>
      </c>
      <c r="G18" s="5" t="s">
        <v>24</v>
      </c>
      <c r="H18" s="5" t="s">
        <v>18</v>
      </c>
      <c r="I18" s="5" t="s">
        <v>141</v>
      </c>
      <c r="J18" s="5" t="s">
        <v>142</v>
      </c>
      <c r="K18" s="5">
        <v>939684040</v>
      </c>
      <c r="L18" s="20">
        <f t="shared" ca="1" si="0"/>
        <v>34</v>
      </c>
      <c r="M18" s="21" t="str">
        <f t="shared" ca="1" si="1"/>
        <v>MASTER A</v>
      </c>
      <c r="N18">
        <v>1</v>
      </c>
    </row>
    <row r="19" spans="1:15" ht="42" thickBot="1" x14ac:dyDescent="0.35">
      <c r="A19">
        <v>19</v>
      </c>
      <c r="B19" s="8">
        <v>45986.489236111112</v>
      </c>
      <c r="C19" s="9" t="s">
        <v>143</v>
      </c>
      <c r="D19" s="9">
        <v>601962210</v>
      </c>
      <c r="E19" s="10">
        <v>24435</v>
      </c>
      <c r="F19" s="9" t="s">
        <v>16</v>
      </c>
      <c r="G19" s="9" t="s">
        <v>24</v>
      </c>
      <c r="H19" s="9" t="s">
        <v>41</v>
      </c>
      <c r="I19" s="9" t="s">
        <v>118</v>
      </c>
      <c r="J19" s="9" t="s">
        <v>144</v>
      </c>
      <c r="K19" s="9">
        <v>961652214</v>
      </c>
      <c r="L19" s="20">
        <f t="shared" ca="1" si="0"/>
        <v>59</v>
      </c>
      <c r="M19" s="21" t="str">
        <f t="shared" ca="1" si="1"/>
        <v>MASTER B</v>
      </c>
      <c r="N19">
        <v>1</v>
      </c>
    </row>
    <row r="20" spans="1:15" ht="42" thickBot="1" x14ac:dyDescent="0.35">
      <c r="A20">
        <v>20</v>
      </c>
      <c r="B20" s="4">
        <v>45986.491793981484</v>
      </c>
      <c r="C20" s="5" t="s">
        <v>145</v>
      </c>
      <c r="D20" s="5">
        <v>1600831893</v>
      </c>
      <c r="E20" s="6">
        <v>32950</v>
      </c>
      <c r="F20" s="5" t="s">
        <v>35</v>
      </c>
      <c r="G20" s="5" t="s">
        <v>24</v>
      </c>
      <c r="H20" s="5" t="s">
        <v>18</v>
      </c>
      <c r="I20" s="5" t="s">
        <v>76</v>
      </c>
      <c r="J20" s="5" t="s">
        <v>146</v>
      </c>
      <c r="K20" s="5">
        <v>983577782</v>
      </c>
      <c r="L20" s="20">
        <f t="shared" ca="1" si="0"/>
        <v>35</v>
      </c>
      <c r="M20" s="21" t="str">
        <f t="shared" ca="1" si="1"/>
        <v>MASTER A</v>
      </c>
      <c r="N20">
        <v>1</v>
      </c>
    </row>
    <row r="21" spans="1:15" ht="42" thickBot="1" x14ac:dyDescent="0.35">
      <c r="A21">
        <v>21</v>
      </c>
      <c r="B21" s="8">
        <v>45986.495127314818</v>
      </c>
      <c r="C21" s="9" t="s">
        <v>147</v>
      </c>
      <c r="D21" s="9">
        <v>605029354</v>
      </c>
      <c r="E21" s="10">
        <v>34596</v>
      </c>
      <c r="F21" s="9" t="s">
        <v>16</v>
      </c>
      <c r="G21" s="9" t="s">
        <v>24</v>
      </c>
      <c r="H21" s="9" t="s">
        <v>18</v>
      </c>
      <c r="I21" s="9" t="s">
        <v>19</v>
      </c>
      <c r="J21" s="9" t="s">
        <v>139</v>
      </c>
      <c r="K21" s="9">
        <v>992462801</v>
      </c>
      <c r="L21" s="20">
        <f t="shared" ca="1" si="0"/>
        <v>31</v>
      </c>
      <c r="M21" s="21" t="str">
        <f t="shared" ca="1" si="1"/>
        <v>MASTER A</v>
      </c>
      <c r="N21">
        <v>1</v>
      </c>
    </row>
    <row r="22" spans="1:15" ht="28.2" thickBot="1" x14ac:dyDescent="0.35">
      <c r="A22">
        <v>22</v>
      </c>
      <c r="B22" s="4">
        <v>45986.520624999997</v>
      </c>
      <c r="C22" s="5" t="s">
        <v>148</v>
      </c>
      <c r="D22" s="5">
        <v>1600759821</v>
      </c>
      <c r="E22" s="6">
        <v>32754</v>
      </c>
      <c r="F22" s="5" t="s">
        <v>16</v>
      </c>
      <c r="G22" s="5" t="s">
        <v>24</v>
      </c>
      <c r="H22" s="5" t="s">
        <v>18</v>
      </c>
      <c r="I22" s="5" t="s">
        <v>25</v>
      </c>
      <c r="J22" s="5" t="s">
        <v>149</v>
      </c>
      <c r="K22" s="5">
        <v>962041020</v>
      </c>
      <c r="L22" s="20">
        <f t="shared" ca="1" si="0"/>
        <v>36</v>
      </c>
      <c r="M22" s="21" t="str">
        <f t="shared" ca="1" si="1"/>
        <v>MASTER A</v>
      </c>
      <c r="N22">
        <v>1</v>
      </c>
      <c r="O22" t="s">
        <v>365</v>
      </c>
    </row>
    <row r="23" spans="1:15" ht="28.2" thickBot="1" x14ac:dyDescent="0.35">
      <c r="A23">
        <v>23</v>
      </c>
      <c r="B23" s="8">
        <v>45986.564456018517</v>
      </c>
      <c r="C23" s="9" t="s">
        <v>150</v>
      </c>
      <c r="D23" s="9">
        <v>604439299</v>
      </c>
      <c r="E23" s="10">
        <v>33497</v>
      </c>
      <c r="F23" s="9" t="s">
        <v>16</v>
      </c>
      <c r="G23" s="9" t="s">
        <v>24</v>
      </c>
      <c r="H23" s="9" t="s">
        <v>18</v>
      </c>
      <c r="I23" s="9" t="s">
        <v>36</v>
      </c>
      <c r="J23" s="9" t="s">
        <v>151</v>
      </c>
      <c r="K23" s="9">
        <v>991448587</v>
      </c>
      <c r="L23" s="20">
        <f t="shared" ca="1" si="0"/>
        <v>34</v>
      </c>
      <c r="M23" s="21" t="str">
        <f t="shared" ca="1" si="1"/>
        <v>MASTER A</v>
      </c>
      <c r="N23">
        <v>1</v>
      </c>
    </row>
    <row r="24" spans="1:15" ht="28.2" thickBot="1" x14ac:dyDescent="0.35">
      <c r="A24">
        <v>24</v>
      </c>
      <c r="B24" s="8">
        <v>45986.773622685185</v>
      </c>
      <c r="C24" s="9" t="s">
        <v>174</v>
      </c>
      <c r="D24" s="9">
        <v>1600736100</v>
      </c>
      <c r="E24" s="10">
        <v>36923</v>
      </c>
      <c r="F24" s="9" t="s">
        <v>16</v>
      </c>
      <c r="G24" s="9" t="s">
        <v>24</v>
      </c>
      <c r="H24" s="9" t="s">
        <v>18</v>
      </c>
      <c r="I24" s="9" t="s">
        <v>36</v>
      </c>
      <c r="J24" s="9" t="s">
        <v>175</v>
      </c>
      <c r="K24" s="9">
        <v>992515264</v>
      </c>
      <c r="L24" s="20">
        <f t="shared" ca="1" si="0"/>
        <v>24</v>
      </c>
      <c r="M24" s="21" t="str">
        <f t="shared" ca="1" si="1"/>
        <v>MASTER A</v>
      </c>
      <c r="N24">
        <v>1</v>
      </c>
    </row>
    <row r="25" spans="1:15" ht="28.2" thickBot="1" x14ac:dyDescent="0.35">
      <c r="A25">
        <v>26</v>
      </c>
      <c r="B25" s="4">
        <v>45986.780324074076</v>
      </c>
      <c r="C25" s="5" t="s">
        <v>178</v>
      </c>
      <c r="D25" s="5">
        <v>2250093669</v>
      </c>
      <c r="E25" s="6">
        <v>34224</v>
      </c>
      <c r="F25" s="5" t="s">
        <v>16</v>
      </c>
      <c r="G25" s="5" t="s">
        <v>24</v>
      </c>
      <c r="H25" s="5" t="s">
        <v>18</v>
      </c>
      <c r="I25" s="5" t="s">
        <v>19</v>
      </c>
      <c r="J25" s="5" t="s">
        <v>179</v>
      </c>
      <c r="K25" s="5">
        <v>995577900</v>
      </c>
      <c r="L25" s="20">
        <f t="shared" ca="1" si="0"/>
        <v>32</v>
      </c>
      <c r="M25" s="21" t="str">
        <f t="shared" ca="1" si="1"/>
        <v>MASTER A</v>
      </c>
      <c r="N25">
        <v>1</v>
      </c>
    </row>
    <row r="26" spans="1:15" ht="28.2" thickBot="1" x14ac:dyDescent="0.35">
      <c r="A26">
        <v>27</v>
      </c>
      <c r="B26" s="8">
        <v>45986.803402777776</v>
      </c>
      <c r="C26" s="9" t="s">
        <v>184</v>
      </c>
      <c r="D26" s="9">
        <v>1501019440</v>
      </c>
      <c r="E26" s="10">
        <v>35735</v>
      </c>
      <c r="F26" s="9" t="s">
        <v>16</v>
      </c>
      <c r="G26" s="9" t="s">
        <v>24</v>
      </c>
      <c r="H26" s="9" t="s">
        <v>18</v>
      </c>
      <c r="I26" s="9" t="s">
        <v>36</v>
      </c>
      <c r="J26" s="9" t="s">
        <v>185</v>
      </c>
      <c r="K26" s="9">
        <v>987270950</v>
      </c>
      <c r="L26" s="20">
        <f t="shared" ca="1" si="0"/>
        <v>28</v>
      </c>
      <c r="M26" s="21" t="str">
        <f t="shared" ca="1" si="1"/>
        <v>MASTER A</v>
      </c>
      <c r="N26">
        <v>1</v>
      </c>
    </row>
    <row r="27" spans="1:15" ht="28.2" thickBot="1" x14ac:dyDescent="0.35">
      <c r="A27">
        <v>28</v>
      </c>
      <c r="B27" s="8">
        <v>45986.847453703704</v>
      </c>
      <c r="C27" s="9" t="s">
        <v>188</v>
      </c>
      <c r="D27" s="9">
        <v>1715566434</v>
      </c>
      <c r="E27" s="10">
        <v>31429</v>
      </c>
      <c r="F27" s="9" t="s">
        <v>16</v>
      </c>
      <c r="G27" s="9" t="s">
        <v>24</v>
      </c>
      <c r="H27" s="9" t="s">
        <v>18</v>
      </c>
      <c r="I27" s="9" t="s">
        <v>19</v>
      </c>
      <c r="J27" s="9" t="s">
        <v>189</v>
      </c>
      <c r="K27" s="9">
        <v>960901980</v>
      </c>
      <c r="L27" s="20">
        <f t="shared" ca="1" si="0"/>
        <v>39</v>
      </c>
      <c r="M27" s="21" t="str">
        <f t="shared" ca="1" si="1"/>
        <v>MASTER A</v>
      </c>
      <c r="N27">
        <v>1</v>
      </c>
    </row>
    <row r="28" spans="1:15" ht="42" thickBot="1" x14ac:dyDescent="0.35">
      <c r="A28">
        <v>29</v>
      </c>
      <c r="B28" s="8">
        <v>45986.851006944446</v>
      </c>
      <c r="C28" s="9" t="s">
        <v>192</v>
      </c>
      <c r="D28" s="9">
        <v>603692328</v>
      </c>
      <c r="E28" s="10">
        <v>32716</v>
      </c>
      <c r="F28" s="9" t="s">
        <v>16</v>
      </c>
      <c r="G28" s="9" t="s">
        <v>24</v>
      </c>
      <c r="H28" s="9" t="s">
        <v>18</v>
      </c>
      <c r="I28" s="9" t="s">
        <v>36</v>
      </c>
      <c r="J28" s="9" t="s">
        <v>193</v>
      </c>
      <c r="K28" s="9">
        <v>981154882</v>
      </c>
      <c r="L28" s="20">
        <f t="shared" ca="1" si="0"/>
        <v>36</v>
      </c>
      <c r="M28" s="21" t="str">
        <f t="shared" ca="1" si="1"/>
        <v>MASTER A</v>
      </c>
      <c r="N28">
        <v>1</v>
      </c>
    </row>
    <row r="29" spans="1:15" ht="42" thickBot="1" x14ac:dyDescent="0.35">
      <c r="A29">
        <v>31</v>
      </c>
      <c r="B29" s="8">
        <v>45987.012141203704</v>
      </c>
      <c r="C29" s="9" t="s">
        <v>204</v>
      </c>
      <c r="D29" s="9">
        <v>603466541</v>
      </c>
      <c r="E29" s="10">
        <v>31208</v>
      </c>
      <c r="F29" s="9" t="s">
        <v>16</v>
      </c>
      <c r="G29" s="9" t="s">
        <v>24</v>
      </c>
      <c r="H29" s="9" t="s">
        <v>18</v>
      </c>
      <c r="I29" s="9" t="s">
        <v>19</v>
      </c>
      <c r="J29" s="9" t="s">
        <v>203</v>
      </c>
      <c r="K29" s="9">
        <v>990552078</v>
      </c>
      <c r="L29" s="20">
        <f t="shared" ca="1" si="0"/>
        <v>40</v>
      </c>
      <c r="M29" s="21" t="str">
        <f t="shared" ca="1" si="1"/>
        <v>MASTER B</v>
      </c>
      <c r="N29">
        <v>1</v>
      </c>
    </row>
    <row r="30" spans="1:15" ht="28.2" thickBot="1" x14ac:dyDescent="0.35">
      <c r="A30">
        <v>33</v>
      </c>
      <c r="B30" s="8">
        <v>45987.020497685182</v>
      </c>
      <c r="C30" s="9" t="s">
        <v>205</v>
      </c>
      <c r="D30" s="9">
        <v>603575572</v>
      </c>
      <c r="E30" s="10">
        <v>33598</v>
      </c>
      <c r="F30" s="9" t="s">
        <v>35</v>
      </c>
      <c r="G30" s="9" t="s">
        <v>24</v>
      </c>
      <c r="H30" s="9" t="s">
        <v>18</v>
      </c>
      <c r="I30" s="9" t="s">
        <v>76</v>
      </c>
      <c r="J30" s="9" t="s">
        <v>206</v>
      </c>
      <c r="K30" s="9">
        <v>985327865</v>
      </c>
      <c r="L30" s="20">
        <f t="shared" ca="1" si="0"/>
        <v>34</v>
      </c>
      <c r="M30" s="21" t="str">
        <f t="shared" ca="1" si="1"/>
        <v>MASTER A</v>
      </c>
      <c r="N30">
        <v>1</v>
      </c>
    </row>
    <row r="31" spans="1:15" ht="40.200000000000003" thickBot="1" x14ac:dyDescent="0.35">
      <c r="B31" s="12">
        <v>45988.455439814818</v>
      </c>
      <c r="C31" s="13" t="s">
        <v>212</v>
      </c>
      <c r="D31" s="13">
        <v>1851020451</v>
      </c>
      <c r="E31" s="14">
        <v>36682</v>
      </c>
      <c r="F31" s="13" t="s">
        <v>16</v>
      </c>
      <c r="G31" s="13" t="s">
        <v>24</v>
      </c>
      <c r="H31" s="13" t="s">
        <v>18</v>
      </c>
      <c r="I31" s="13" t="s">
        <v>19</v>
      </c>
      <c r="J31" s="13" t="s">
        <v>213</v>
      </c>
      <c r="K31" s="13">
        <v>987981779</v>
      </c>
      <c r="L31" s="20">
        <f t="shared" ca="1" si="0"/>
        <v>25</v>
      </c>
      <c r="M31" s="21" t="str">
        <f t="shared" ca="1" si="1"/>
        <v>MASTER A</v>
      </c>
      <c r="N31">
        <v>1</v>
      </c>
    </row>
    <row r="32" spans="1:15" ht="27" thickBot="1" x14ac:dyDescent="0.35">
      <c r="B32" s="15">
        <v>45988.79855324074</v>
      </c>
      <c r="C32" s="16" t="s">
        <v>214</v>
      </c>
      <c r="D32" s="16">
        <v>1802907525</v>
      </c>
      <c r="E32" s="17">
        <v>31594</v>
      </c>
      <c r="F32" s="16" t="s">
        <v>16</v>
      </c>
      <c r="G32" s="16" t="s">
        <v>24</v>
      </c>
      <c r="H32" s="16" t="s">
        <v>18</v>
      </c>
      <c r="I32" s="16" t="s">
        <v>36</v>
      </c>
      <c r="J32" s="16" t="s">
        <v>215</v>
      </c>
      <c r="K32" s="16">
        <v>984796706</v>
      </c>
      <c r="L32" s="20">
        <f t="shared" ca="1" si="0"/>
        <v>39</v>
      </c>
      <c r="M32" s="21" t="str">
        <f t="shared" ca="1" si="1"/>
        <v>MASTER A</v>
      </c>
      <c r="N32">
        <v>1</v>
      </c>
    </row>
    <row r="33" spans="1:15" ht="40.200000000000003" thickBot="1" x14ac:dyDescent="0.35">
      <c r="B33" s="12">
        <v>45988.942048611112</v>
      </c>
      <c r="C33" s="13" t="s">
        <v>130</v>
      </c>
      <c r="D33" s="13">
        <v>1805387105</v>
      </c>
      <c r="E33" s="14">
        <v>36953</v>
      </c>
      <c r="F33" s="13" t="s">
        <v>35</v>
      </c>
      <c r="G33" s="13" t="s">
        <v>24</v>
      </c>
      <c r="H33" s="13" t="s">
        <v>18</v>
      </c>
      <c r="I33" s="13" t="s">
        <v>19</v>
      </c>
      <c r="J33" s="13" t="s">
        <v>131</v>
      </c>
      <c r="K33" s="13">
        <v>995671202</v>
      </c>
      <c r="L33" s="20">
        <f t="shared" ca="1" si="0"/>
        <v>24</v>
      </c>
      <c r="M33" s="21" t="str">
        <f t="shared" ca="1" si="1"/>
        <v>MASTER A</v>
      </c>
      <c r="N33">
        <v>1</v>
      </c>
    </row>
    <row r="34" spans="1:15" ht="40.200000000000003" thickBot="1" x14ac:dyDescent="0.35">
      <c r="B34" s="12">
        <v>45989.580347222225</v>
      </c>
      <c r="C34" s="13" t="s">
        <v>221</v>
      </c>
      <c r="D34" s="13">
        <v>1805541503</v>
      </c>
      <c r="E34" s="14">
        <v>34324</v>
      </c>
      <c r="F34" s="13" t="s">
        <v>16</v>
      </c>
      <c r="G34" s="13" t="s">
        <v>24</v>
      </c>
      <c r="H34" s="13" t="s">
        <v>18</v>
      </c>
      <c r="I34" s="13" t="s">
        <v>19</v>
      </c>
      <c r="J34" s="13" t="s">
        <v>222</v>
      </c>
      <c r="K34" s="13">
        <v>998646472</v>
      </c>
      <c r="L34" s="20">
        <f t="shared" ca="1" si="0"/>
        <v>32</v>
      </c>
      <c r="M34" s="21" t="str">
        <f t="shared" ca="1" si="1"/>
        <v>MASTER A</v>
      </c>
      <c r="N34">
        <v>1</v>
      </c>
    </row>
    <row r="35" spans="1:15" ht="27" thickBot="1" x14ac:dyDescent="0.35">
      <c r="B35" s="15">
        <v>45990.77983796296</v>
      </c>
      <c r="C35" s="22" t="s">
        <v>227</v>
      </c>
      <c r="D35" s="16">
        <v>1600621211</v>
      </c>
      <c r="E35" s="17">
        <v>35428</v>
      </c>
      <c r="F35" s="16" t="s">
        <v>16</v>
      </c>
      <c r="G35" s="16" t="s">
        <v>24</v>
      </c>
      <c r="H35" s="16"/>
      <c r="I35" s="16" t="s">
        <v>19</v>
      </c>
      <c r="J35" s="16" t="s">
        <v>228</v>
      </c>
      <c r="K35" s="16">
        <v>979349456</v>
      </c>
      <c r="L35" s="20">
        <f t="shared" ca="1" si="0"/>
        <v>29</v>
      </c>
      <c r="M35" s="21" t="str">
        <f t="shared" ca="1" si="1"/>
        <v>MASTER A</v>
      </c>
      <c r="N35">
        <v>1</v>
      </c>
      <c r="O35" t="s">
        <v>365</v>
      </c>
    </row>
    <row r="36" spans="1:15" ht="27" thickBot="1" x14ac:dyDescent="0.35">
      <c r="B36" s="12">
        <v>45993.332858796297</v>
      </c>
      <c r="C36" s="13" t="s">
        <v>253</v>
      </c>
      <c r="D36" s="13">
        <v>1805034616</v>
      </c>
      <c r="E36" s="14">
        <v>33481</v>
      </c>
      <c r="F36" s="13" t="s">
        <v>16</v>
      </c>
      <c r="G36" s="13" t="s">
        <v>24</v>
      </c>
      <c r="H36" s="13" t="s">
        <v>18</v>
      </c>
      <c r="I36" s="13" t="s">
        <v>36</v>
      </c>
      <c r="J36" s="13" t="s">
        <v>254</v>
      </c>
      <c r="K36" s="13">
        <v>996299318</v>
      </c>
      <c r="L36" s="20">
        <f t="shared" ca="1" si="0"/>
        <v>34</v>
      </c>
      <c r="M36" s="21" t="str">
        <f t="shared" ca="1" si="1"/>
        <v>MASTER A</v>
      </c>
      <c r="N36">
        <v>1</v>
      </c>
    </row>
    <row r="37" spans="1:15" ht="40.200000000000003" thickBot="1" x14ac:dyDescent="0.35">
      <c r="B37" s="12">
        <v>45994.393587962964</v>
      </c>
      <c r="C37" s="13" t="s">
        <v>271</v>
      </c>
      <c r="D37" s="13">
        <v>1850478122</v>
      </c>
      <c r="E37" s="14">
        <v>36603</v>
      </c>
      <c r="F37" s="13" t="s">
        <v>16</v>
      </c>
      <c r="G37" s="13" t="s">
        <v>24</v>
      </c>
      <c r="H37" s="13" t="s">
        <v>18</v>
      </c>
      <c r="I37" s="13" t="s">
        <v>19</v>
      </c>
      <c r="J37" s="13" t="s">
        <v>153</v>
      </c>
      <c r="K37" s="13">
        <v>959133623</v>
      </c>
      <c r="L37" s="20">
        <f t="shared" ref="L37:L44" ca="1" si="2">YEAR(TODAY())-YEAR(E37)</f>
        <v>25</v>
      </c>
      <c r="M37" s="21" t="str">
        <f t="shared" ref="M37:M44" ca="1" si="3">IF(L37&lt;21,"JUVENIL",IF(L37&lt;40,"MASTER A","MASTER B"))</f>
        <v>MASTER A</v>
      </c>
      <c r="N37">
        <v>1</v>
      </c>
    </row>
    <row r="38" spans="1:15" ht="40.200000000000003" thickBot="1" x14ac:dyDescent="0.35">
      <c r="B38" s="12">
        <v>45994.578645833331</v>
      </c>
      <c r="C38" s="13" t="s">
        <v>272</v>
      </c>
      <c r="D38" s="13">
        <v>1716599236</v>
      </c>
      <c r="E38" s="14">
        <v>34015</v>
      </c>
      <c r="F38" s="13" t="s">
        <v>16</v>
      </c>
      <c r="G38" s="13" t="s">
        <v>24</v>
      </c>
      <c r="H38" s="13" t="s">
        <v>18</v>
      </c>
      <c r="I38" s="13" t="s">
        <v>25</v>
      </c>
      <c r="J38" s="13" t="s">
        <v>273</v>
      </c>
      <c r="K38" s="13">
        <v>995772637</v>
      </c>
      <c r="L38" s="20">
        <f t="shared" ca="1" si="2"/>
        <v>32</v>
      </c>
      <c r="M38" s="21" t="str">
        <f t="shared" ca="1" si="3"/>
        <v>MASTER A</v>
      </c>
      <c r="N38">
        <v>1</v>
      </c>
    </row>
    <row r="39" spans="1:15" ht="40.200000000000003" thickBot="1" x14ac:dyDescent="0.35">
      <c r="B39" s="12">
        <v>45994.851365740738</v>
      </c>
      <c r="C39" s="13" t="s">
        <v>281</v>
      </c>
      <c r="D39" s="13">
        <v>1850345602</v>
      </c>
      <c r="E39" s="14">
        <v>37685</v>
      </c>
      <c r="F39" s="13" t="s">
        <v>16</v>
      </c>
      <c r="G39" s="13" t="s">
        <v>24</v>
      </c>
      <c r="H39" s="13"/>
      <c r="I39" s="13" t="s">
        <v>19</v>
      </c>
      <c r="J39" s="13" t="s">
        <v>282</v>
      </c>
      <c r="K39" s="13">
        <v>967915809</v>
      </c>
      <c r="L39" s="20">
        <f t="shared" ca="1" si="2"/>
        <v>22</v>
      </c>
      <c r="M39" s="21" t="str">
        <f t="shared" ca="1" si="3"/>
        <v>MASTER A</v>
      </c>
      <c r="N39">
        <v>1</v>
      </c>
    </row>
    <row r="40" spans="1:15" ht="40.200000000000003" thickBot="1" x14ac:dyDescent="0.35">
      <c r="B40" s="15">
        <v>45995.767905092594</v>
      </c>
      <c r="C40" s="16" t="s">
        <v>297</v>
      </c>
      <c r="D40" s="16">
        <v>1803825957</v>
      </c>
      <c r="E40" s="17">
        <v>30556</v>
      </c>
      <c r="F40" s="16" t="s">
        <v>16</v>
      </c>
      <c r="G40" s="16" t="s">
        <v>24</v>
      </c>
      <c r="H40" s="16" t="s">
        <v>28</v>
      </c>
      <c r="I40" s="16" t="s">
        <v>118</v>
      </c>
      <c r="J40" s="16" t="s">
        <v>298</v>
      </c>
      <c r="K40" s="16">
        <v>593968568947</v>
      </c>
      <c r="L40" s="20">
        <f t="shared" ca="1" si="2"/>
        <v>42</v>
      </c>
      <c r="M40" s="21" t="str">
        <f t="shared" ca="1" si="3"/>
        <v>MASTER B</v>
      </c>
      <c r="N40">
        <v>1</v>
      </c>
    </row>
    <row r="41" spans="1:15" ht="40.200000000000003" thickBot="1" x14ac:dyDescent="0.35">
      <c r="B41" s="12">
        <v>45995.867685185185</v>
      </c>
      <c r="C41" s="13" t="s">
        <v>299</v>
      </c>
      <c r="D41" s="13">
        <v>1805183603</v>
      </c>
      <c r="E41" s="14">
        <v>36026</v>
      </c>
      <c r="F41" s="13" t="s">
        <v>16</v>
      </c>
      <c r="G41" s="13" t="s">
        <v>24</v>
      </c>
      <c r="H41" s="13" t="s">
        <v>18</v>
      </c>
      <c r="I41" s="13" t="s">
        <v>36</v>
      </c>
      <c r="J41" s="13" t="s">
        <v>300</v>
      </c>
      <c r="K41" s="13">
        <v>990195937</v>
      </c>
      <c r="L41" s="20">
        <f t="shared" ca="1" si="2"/>
        <v>27</v>
      </c>
      <c r="M41" s="21" t="str">
        <f t="shared" ca="1" si="3"/>
        <v>MASTER A</v>
      </c>
      <c r="N41">
        <v>1</v>
      </c>
    </row>
    <row r="42" spans="1:15" ht="40.200000000000003" thickBot="1" x14ac:dyDescent="0.35">
      <c r="B42" s="12">
        <v>45996.393888888888</v>
      </c>
      <c r="C42" s="13" t="s">
        <v>303</v>
      </c>
      <c r="D42" s="13">
        <v>602566267</v>
      </c>
      <c r="E42" s="14">
        <v>29952</v>
      </c>
      <c r="F42" s="13" t="s">
        <v>16</v>
      </c>
      <c r="G42" s="13" t="s">
        <v>24</v>
      </c>
      <c r="H42" s="13" t="s">
        <v>28</v>
      </c>
      <c r="I42" s="13" t="s">
        <v>118</v>
      </c>
      <c r="J42" s="13" t="s">
        <v>304</v>
      </c>
      <c r="K42" s="13">
        <v>962160114</v>
      </c>
      <c r="L42" s="20">
        <f t="shared" ca="1" si="2"/>
        <v>43</v>
      </c>
      <c r="M42" s="21" t="str">
        <f t="shared" ca="1" si="3"/>
        <v>MASTER B</v>
      </c>
      <c r="N42">
        <v>1</v>
      </c>
    </row>
    <row r="43" spans="1:15" ht="27" thickBot="1" x14ac:dyDescent="0.35">
      <c r="B43" s="15">
        <v>45996.503888888888</v>
      </c>
      <c r="C43" s="16" t="s">
        <v>309</v>
      </c>
      <c r="D43" s="16">
        <v>1804761979</v>
      </c>
      <c r="E43" s="17">
        <v>34543</v>
      </c>
      <c r="F43" s="16" t="s">
        <v>16</v>
      </c>
      <c r="G43" s="16" t="s">
        <v>24</v>
      </c>
      <c r="H43" s="16" t="s">
        <v>18</v>
      </c>
      <c r="I43" s="16" t="s">
        <v>19</v>
      </c>
      <c r="J43" s="16" t="s">
        <v>310</v>
      </c>
      <c r="K43" s="16">
        <v>998176148</v>
      </c>
      <c r="L43" s="20">
        <f t="shared" ca="1" si="2"/>
        <v>31</v>
      </c>
      <c r="M43" s="21" t="str">
        <f t="shared" ca="1" si="3"/>
        <v>MASTER A</v>
      </c>
      <c r="N43">
        <v>1</v>
      </c>
    </row>
    <row r="44" spans="1:15" ht="40.200000000000003" thickBot="1" x14ac:dyDescent="0.35">
      <c r="B44" s="12">
        <v>45996.624247685184</v>
      </c>
      <c r="C44" s="13" t="s">
        <v>318</v>
      </c>
      <c r="D44" s="13">
        <v>1850239383</v>
      </c>
      <c r="E44" s="14">
        <v>40219</v>
      </c>
      <c r="F44" s="13" t="s">
        <v>16</v>
      </c>
      <c r="G44" s="13" t="s">
        <v>24</v>
      </c>
      <c r="H44" s="13" t="s">
        <v>44</v>
      </c>
      <c r="I44" s="13" t="s">
        <v>19</v>
      </c>
      <c r="J44" s="13" t="s">
        <v>319</v>
      </c>
      <c r="K44" s="13">
        <v>962551612</v>
      </c>
      <c r="L44" s="20">
        <f t="shared" ca="1" si="2"/>
        <v>15</v>
      </c>
      <c r="M44" s="21" t="str">
        <f t="shared" ca="1" si="3"/>
        <v>JUVENIL</v>
      </c>
      <c r="N44" s="20">
        <v>1</v>
      </c>
    </row>
    <row r="45" spans="1:15" ht="42" thickBot="1" x14ac:dyDescent="0.35">
      <c r="A45" s="8">
        <v>45974.984606481485</v>
      </c>
      <c r="C45" s="29" t="s">
        <v>51</v>
      </c>
      <c r="D45" s="9">
        <v>1850976281</v>
      </c>
      <c r="E45" s="10">
        <v>37380</v>
      </c>
      <c r="F45" s="9" t="s">
        <v>35</v>
      </c>
      <c r="G45" s="9" t="s">
        <v>24</v>
      </c>
      <c r="H45" s="9" t="s">
        <v>18</v>
      </c>
      <c r="I45" s="9" t="s">
        <v>36</v>
      </c>
      <c r="J45" s="9" t="s">
        <v>52</v>
      </c>
      <c r="K45" s="9">
        <v>998764058</v>
      </c>
      <c r="L45" s="20">
        <f ca="1">YEAR(TODAY())-YEAR(E45)</f>
        <v>23</v>
      </c>
      <c r="M45" s="21" t="str">
        <f ca="1">IF(L45&lt;21,"JUVENIL",IF(L45&lt;40,"MASTER A","MASTER B"))</f>
        <v>MASTER A</v>
      </c>
      <c r="N45" s="20">
        <v>1</v>
      </c>
      <c r="O45" t="s">
        <v>364</v>
      </c>
    </row>
    <row r="46" spans="1:15" ht="40.200000000000003" thickBot="1" x14ac:dyDescent="0.35">
      <c r="B46" s="15">
        <v>45996.964803240742</v>
      </c>
      <c r="C46" s="16" t="s">
        <v>381</v>
      </c>
      <c r="D46" s="16">
        <v>1600376535</v>
      </c>
      <c r="E46" s="17">
        <v>31442</v>
      </c>
      <c r="F46" s="16" t="s">
        <v>16</v>
      </c>
      <c r="G46" s="16" t="s">
        <v>24</v>
      </c>
      <c r="H46" s="16" t="s">
        <v>18</v>
      </c>
      <c r="I46" s="16" t="s">
        <v>19</v>
      </c>
      <c r="J46" s="16" t="s">
        <v>382</v>
      </c>
      <c r="K46" s="16">
        <v>991385741</v>
      </c>
      <c r="L46" s="20">
        <f t="shared" ref="L46:L56" ca="1" si="4">YEAR(TODAY())-YEAR(E46)</f>
        <v>39</v>
      </c>
      <c r="M46" s="21" t="str">
        <f t="shared" ref="M46:M56" ca="1" si="5">IF(L46&lt;21,"JUVENIL",IF(L46&lt;40,"MASTER A","MASTER B"))</f>
        <v>MASTER A</v>
      </c>
      <c r="N46" s="20">
        <v>1</v>
      </c>
    </row>
    <row r="47" spans="1:15" ht="27" thickBot="1" x14ac:dyDescent="0.35">
      <c r="B47" s="23" t="s">
        <v>343</v>
      </c>
      <c r="C47" s="16" t="s">
        <v>418</v>
      </c>
      <c r="D47" s="16">
        <v>1850610971</v>
      </c>
      <c r="E47" s="17">
        <v>37315</v>
      </c>
      <c r="F47" s="16" t="s">
        <v>16</v>
      </c>
      <c r="G47" s="16" t="s">
        <v>24</v>
      </c>
      <c r="H47" s="16" t="s">
        <v>18</v>
      </c>
      <c r="I47" s="24" t="s">
        <v>19</v>
      </c>
      <c r="J47" s="24"/>
      <c r="K47" s="24"/>
      <c r="L47" s="20">
        <f t="shared" ca="1" si="4"/>
        <v>23</v>
      </c>
      <c r="M47" s="21" t="str">
        <f t="shared" ca="1" si="5"/>
        <v>MASTER A</v>
      </c>
      <c r="N47" s="20">
        <v>1</v>
      </c>
    </row>
    <row r="48" spans="1:15" x14ac:dyDescent="0.3">
      <c r="B48" s="23" t="s">
        <v>344</v>
      </c>
      <c r="C48" s="59" t="s">
        <v>470</v>
      </c>
      <c r="F48" s="59" t="s">
        <v>16</v>
      </c>
      <c r="G48" s="59" t="s">
        <v>471</v>
      </c>
      <c r="I48" s="24" t="s">
        <v>25</v>
      </c>
      <c r="L48" s="20">
        <v>70</v>
      </c>
      <c r="M48" s="21" t="str">
        <f t="shared" si="5"/>
        <v>MASTER B</v>
      </c>
      <c r="N48" s="20">
        <v>1</v>
      </c>
      <c r="O48" t="s">
        <v>365</v>
      </c>
    </row>
    <row r="49" spans="2:15" x14ac:dyDescent="0.3">
      <c r="B49" s="23" t="s">
        <v>345</v>
      </c>
      <c r="C49" s="59" t="s">
        <v>472</v>
      </c>
      <c r="F49" s="59" t="s">
        <v>35</v>
      </c>
      <c r="G49" s="59" t="s">
        <v>471</v>
      </c>
      <c r="I49" s="24" t="s">
        <v>19</v>
      </c>
      <c r="L49" s="20">
        <v>40</v>
      </c>
      <c r="M49" s="21" t="str">
        <f t="shared" si="5"/>
        <v>MASTER B</v>
      </c>
      <c r="N49" s="20">
        <v>1</v>
      </c>
      <c r="O49" t="s">
        <v>365</v>
      </c>
    </row>
    <row r="50" spans="2:15" x14ac:dyDescent="0.3">
      <c r="B50" s="23" t="s">
        <v>346</v>
      </c>
      <c r="C50" s="28" t="s">
        <v>473</v>
      </c>
      <c r="D50" s="28"/>
      <c r="E50" s="28"/>
      <c r="F50" s="28" t="s">
        <v>35</v>
      </c>
      <c r="G50" s="59" t="s">
        <v>471</v>
      </c>
      <c r="H50" s="28"/>
      <c r="I50" s="24" t="s">
        <v>19</v>
      </c>
      <c r="J50" s="28"/>
      <c r="K50" s="28"/>
      <c r="L50" s="20">
        <v>47</v>
      </c>
      <c r="M50" s="21" t="str">
        <f t="shared" si="5"/>
        <v>MASTER B</v>
      </c>
      <c r="N50" s="20">
        <v>1</v>
      </c>
      <c r="O50" t="s">
        <v>365</v>
      </c>
    </row>
    <row r="51" spans="2:15" x14ac:dyDescent="0.3">
      <c r="B51" s="23" t="s">
        <v>347</v>
      </c>
      <c r="C51" s="28" t="s">
        <v>474</v>
      </c>
      <c r="D51" s="28"/>
      <c r="E51" s="28"/>
      <c r="F51" s="28" t="s">
        <v>16</v>
      </c>
      <c r="G51" s="59" t="s">
        <v>471</v>
      </c>
      <c r="H51" s="28"/>
      <c r="I51" s="24" t="s">
        <v>25</v>
      </c>
      <c r="J51" s="28"/>
      <c r="K51" s="28"/>
      <c r="L51" s="20">
        <v>38</v>
      </c>
      <c r="M51" s="21" t="str">
        <f t="shared" si="5"/>
        <v>MASTER A</v>
      </c>
      <c r="N51" s="20">
        <v>1</v>
      </c>
      <c r="O51" t="s">
        <v>365</v>
      </c>
    </row>
    <row r="52" spans="2:15" x14ac:dyDescent="0.3">
      <c r="B52" s="23" t="s">
        <v>348</v>
      </c>
      <c r="C52" s="28" t="s">
        <v>481</v>
      </c>
      <c r="D52" s="28"/>
      <c r="E52" s="28"/>
      <c r="F52" s="28" t="s">
        <v>35</v>
      </c>
      <c r="G52" s="59" t="s">
        <v>471</v>
      </c>
      <c r="H52" s="28"/>
      <c r="I52" s="24" t="s">
        <v>19</v>
      </c>
      <c r="J52" s="28"/>
      <c r="K52" s="28"/>
      <c r="L52" s="20">
        <v>20</v>
      </c>
      <c r="M52" s="21" t="str">
        <f t="shared" si="5"/>
        <v>JUVENIL</v>
      </c>
      <c r="N52" s="20">
        <v>1</v>
      </c>
      <c r="O52" t="s">
        <v>365</v>
      </c>
    </row>
    <row r="53" spans="2:15" ht="15" thickBot="1" x14ac:dyDescent="0.35">
      <c r="B53" s="23" t="s">
        <v>349</v>
      </c>
      <c r="C53" s="28" t="s">
        <v>459</v>
      </c>
      <c r="D53" s="28">
        <v>1804443305</v>
      </c>
      <c r="E53" s="37">
        <v>34282</v>
      </c>
      <c r="F53" s="28" t="s">
        <v>16</v>
      </c>
      <c r="G53" s="59" t="s">
        <v>471</v>
      </c>
      <c r="H53" s="28"/>
      <c r="I53" s="24" t="s">
        <v>19</v>
      </c>
      <c r="J53" s="28"/>
      <c r="K53" s="28" t="s">
        <v>460</v>
      </c>
      <c r="L53" s="20">
        <f t="shared" ca="1" si="4"/>
        <v>32</v>
      </c>
      <c r="M53" s="21" t="str">
        <f t="shared" ca="1" si="5"/>
        <v>MASTER A</v>
      </c>
      <c r="N53" s="20">
        <v>1</v>
      </c>
      <c r="O53" t="s">
        <v>365</v>
      </c>
    </row>
    <row r="54" spans="2:15" ht="40.200000000000003" thickBot="1" x14ac:dyDescent="0.35">
      <c r="B54" s="23" t="s">
        <v>350</v>
      </c>
      <c r="C54" s="16" t="s">
        <v>332</v>
      </c>
      <c r="D54" s="16">
        <v>185082474</v>
      </c>
      <c r="E54" s="17">
        <v>36216</v>
      </c>
      <c r="F54" s="16" t="s">
        <v>35</v>
      </c>
      <c r="G54" s="16" t="s">
        <v>24</v>
      </c>
      <c r="H54" s="16" t="s">
        <v>18</v>
      </c>
      <c r="I54" s="16" t="s">
        <v>36</v>
      </c>
      <c r="J54" s="16" t="s">
        <v>333</v>
      </c>
      <c r="K54" s="16">
        <v>998393728</v>
      </c>
      <c r="L54" s="20">
        <f t="shared" ca="1" si="4"/>
        <v>26</v>
      </c>
      <c r="M54" s="21" t="str">
        <f t="shared" ca="1" si="5"/>
        <v>MASTER A</v>
      </c>
      <c r="N54" s="26">
        <v>1</v>
      </c>
    </row>
    <row r="55" spans="2:15" ht="27" thickBot="1" x14ac:dyDescent="0.35">
      <c r="B55" s="23" t="s">
        <v>351</v>
      </c>
      <c r="C55" s="16" t="s">
        <v>468</v>
      </c>
      <c r="D55" s="16">
        <v>1805032602</v>
      </c>
      <c r="E55" s="17">
        <v>32297</v>
      </c>
      <c r="F55" s="16" t="s">
        <v>16</v>
      </c>
      <c r="G55" s="16" t="s">
        <v>24</v>
      </c>
      <c r="H55" s="16"/>
      <c r="I55" s="16" t="s">
        <v>19</v>
      </c>
      <c r="J55" s="16" t="s">
        <v>469</v>
      </c>
      <c r="K55" s="16">
        <v>987250161</v>
      </c>
      <c r="L55" s="20">
        <f t="shared" ca="1" si="4"/>
        <v>37</v>
      </c>
      <c r="M55" s="21" t="str">
        <f t="shared" ca="1" si="5"/>
        <v>MASTER A</v>
      </c>
      <c r="N55" s="20">
        <v>1</v>
      </c>
    </row>
    <row r="56" spans="2:15" x14ac:dyDescent="0.3">
      <c r="B56" s="23" t="s">
        <v>352</v>
      </c>
      <c r="C56" s="28" t="s">
        <v>480</v>
      </c>
      <c r="D56" s="28">
        <v>603244237</v>
      </c>
      <c r="E56" s="37">
        <v>29449</v>
      </c>
      <c r="F56" s="28" t="s">
        <v>16</v>
      </c>
      <c r="G56" s="28" t="s">
        <v>471</v>
      </c>
      <c r="H56" s="28"/>
      <c r="I56" s="24" t="s">
        <v>118</v>
      </c>
      <c r="J56" s="28"/>
      <c r="K56" s="28">
        <v>961484359</v>
      </c>
      <c r="L56" s="20">
        <f t="shared" ca="1" si="4"/>
        <v>45</v>
      </c>
      <c r="M56" s="21" t="str">
        <f t="shared" ca="1" si="5"/>
        <v>MASTER B</v>
      </c>
      <c r="N56" s="20">
        <v>1</v>
      </c>
      <c r="O56" t="s">
        <v>487</v>
      </c>
    </row>
    <row r="57" spans="2:15" x14ac:dyDescent="0.3">
      <c r="N57" s="20">
        <f>SUM(N4:N56)</f>
        <v>53</v>
      </c>
    </row>
  </sheetData>
  <autoFilter ref="A3:O57" xr:uid="{3BB0185A-C0AA-4EA1-A958-331FE09C958C}"/>
  <phoneticPr fontId="9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0DCC-A692-4B47-AAEF-7846227AF34B}">
  <dimension ref="A1:C14"/>
  <sheetViews>
    <sheetView workbookViewId="0">
      <selection activeCell="D9" sqref="D9"/>
    </sheetView>
  </sheetViews>
  <sheetFormatPr baseColWidth="10" defaultRowHeight="14.4" x14ac:dyDescent="0.3"/>
  <cols>
    <col min="1" max="1" width="27" customWidth="1"/>
  </cols>
  <sheetData>
    <row r="1" spans="1:3" x14ac:dyDescent="0.3">
      <c r="A1" s="31" t="s">
        <v>366</v>
      </c>
    </row>
    <row r="2" spans="1:3" x14ac:dyDescent="0.3">
      <c r="A2" s="31" t="s">
        <v>367</v>
      </c>
      <c r="B2" s="31" t="s">
        <v>368</v>
      </c>
    </row>
    <row r="3" spans="1:3" x14ac:dyDescent="0.3">
      <c r="A3" t="s">
        <v>369</v>
      </c>
      <c r="B3" t="s">
        <v>118</v>
      </c>
    </row>
    <row r="4" spans="1:3" x14ac:dyDescent="0.3">
      <c r="A4" t="s">
        <v>370</v>
      </c>
      <c r="B4" t="s">
        <v>118</v>
      </c>
    </row>
    <row r="5" spans="1:3" x14ac:dyDescent="0.3">
      <c r="A5" t="s">
        <v>371</v>
      </c>
      <c r="B5" t="s">
        <v>118</v>
      </c>
    </row>
    <row r="6" spans="1:3" x14ac:dyDescent="0.3">
      <c r="A6" t="s">
        <v>372</v>
      </c>
      <c r="B6" t="s">
        <v>36</v>
      </c>
    </row>
    <row r="7" spans="1:3" x14ac:dyDescent="0.3">
      <c r="A7" t="s">
        <v>373</v>
      </c>
      <c r="B7" t="s">
        <v>19</v>
      </c>
    </row>
    <row r="8" spans="1:3" x14ac:dyDescent="0.3">
      <c r="A8" t="s">
        <v>376</v>
      </c>
      <c r="B8" t="s">
        <v>25</v>
      </c>
    </row>
    <row r="9" spans="1:3" x14ac:dyDescent="0.3">
      <c r="A9" t="s">
        <v>377</v>
      </c>
      <c r="B9" t="s">
        <v>25</v>
      </c>
    </row>
    <row r="10" spans="1:3" x14ac:dyDescent="0.3">
      <c r="A10" t="s">
        <v>378</v>
      </c>
      <c r="B10" t="s">
        <v>19</v>
      </c>
    </row>
    <row r="11" spans="1:3" x14ac:dyDescent="0.3">
      <c r="A11" t="s">
        <v>379</v>
      </c>
      <c r="B11" t="s">
        <v>25</v>
      </c>
    </row>
    <row r="12" spans="1:3" x14ac:dyDescent="0.3">
      <c r="A12" t="s">
        <v>380</v>
      </c>
      <c r="B12" t="s">
        <v>19</v>
      </c>
    </row>
    <row r="13" spans="1:3" x14ac:dyDescent="0.3">
      <c r="A13" s="57" t="s">
        <v>374</v>
      </c>
      <c r="B13" s="57" t="s">
        <v>25</v>
      </c>
      <c r="C13" s="32"/>
    </row>
    <row r="14" spans="1:3" x14ac:dyDescent="0.3">
      <c r="A14" s="57" t="s">
        <v>375</v>
      </c>
      <c r="B14" s="57" t="s">
        <v>36</v>
      </c>
      <c r="C14" s="32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2F22-8C8B-4CE0-91EF-C999F5560035}">
  <dimension ref="B2:J18"/>
  <sheetViews>
    <sheetView workbookViewId="0">
      <selection activeCell="G20" sqref="G20"/>
    </sheetView>
  </sheetViews>
  <sheetFormatPr baseColWidth="10" defaultRowHeight="14.4" x14ac:dyDescent="0.3"/>
  <cols>
    <col min="2" max="2" width="13.44140625" customWidth="1"/>
  </cols>
  <sheetData>
    <row r="2" spans="2:10" x14ac:dyDescent="0.3">
      <c r="B2" s="67" t="s">
        <v>482</v>
      </c>
      <c r="C2" s="67"/>
      <c r="D2" s="38" t="s">
        <v>485</v>
      </c>
      <c r="E2" s="28" t="s">
        <v>486</v>
      </c>
    </row>
    <row r="3" spans="2:10" x14ac:dyDescent="0.3">
      <c r="B3" s="26">
        <v>32</v>
      </c>
      <c r="C3" s="26">
        <v>2</v>
      </c>
      <c r="D3" s="26">
        <v>2</v>
      </c>
      <c r="E3" s="28">
        <f>D3-C3</f>
        <v>0</v>
      </c>
    </row>
    <row r="4" spans="2:10" x14ac:dyDescent="0.3">
      <c r="B4" s="26" t="s">
        <v>76</v>
      </c>
      <c r="C4" s="26">
        <v>13</v>
      </c>
      <c r="D4" s="26">
        <v>18</v>
      </c>
      <c r="E4" s="28">
        <f t="shared" ref="E4:E6" si="0">D4-C4</f>
        <v>5</v>
      </c>
    </row>
    <row r="5" spans="2:10" x14ac:dyDescent="0.3">
      <c r="B5" s="26" t="s">
        <v>36</v>
      </c>
      <c r="C5" s="26">
        <v>2</v>
      </c>
      <c r="D5" s="26">
        <v>2</v>
      </c>
      <c r="E5" s="28">
        <f t="shared" si="0"/>
        <v>0</v>
      </c>
    </row>
    <row r="6" spans="2:10" x14ac:dyDescent="0.3">
      <c r="B6" s="26" t="s">
        <v>19</v>
      </c>
      <c r="C6" s="26">
        <v>1</v>
      </c>
      <c r="D6" s="26">
        <v>1</v>
      </c>
      <c r="E6" s="28">
        <f t="shared" si="0"/>
        <v>0</v>
      </c>
    </row>
    <row r="7" spans="2:10" x14ac:dyDescent="0.3">
      <c r="B7" s="20"/>
      <c r="C7" s="26">
        <f>SUM(C3:C6)</f>
        <v>18</v>
      </c>
      <c r="D7" s="26">
        <f>SUM(D3:D6)</f>
        <v>23</v>
      </c>
      <c r="E7" s="28"/>
    </row>
    <row r="9" spans="2:10" x14ac:dyDescent="0.3">
      <c r="B9" s="68" t="s">
        <v>483</v>
      </c>
      <c r="C9" s="69"/>
      <c r="D9" s="38" t="s">
        <v>485</v>
      </c>
      <c r="E9" s="28" t="s">
        <v>486</v>
      </c>
      <c r="G9" s="70" t="s">
        <v>484</v>
      </c>
      <c r="H9" s="71"/>
      <c r="I9" s="38" t="s">
        <v>485</v>
      </c>
      <c r="J9" s="28" t="s">
        <v>486</v>
      </c>
    </row>
    <row r="10" spans="2:10" x14ac:dyDescent="0.3">
      <c r="B10" s="26" t="s">
        <v>76</v>
      </c>
      <c r="C10" s="26">
        <v>4</v>
      </c>
      <c r="D10" s="26">
        <v>6</v>
      </c>
      <c r="E10" s="28">
        <f>D10-C10</f>
        <v>2</v>
      </c>
      <c r="G10" s="66" t="s">
        <v>76</v>
      </c>
      <c r="H10" s="26">
        <v>2</v>
      </c>
      <c r="I10" s="26">
        <v>2</v>
      </c>
      <c r="J10" s="28">
        <f>I10-H10</f>
        <v>0</v>
      </c>
    </row>
    <row r="11" spans="2:10" x14ac:dyDescent="0.3">
      <c r="B11" s="26" t="s">
        <v>36</v>
      </c>
      <c r="C11" s="26">
        <v>23</v>
      </c>
      <c r="D11" s="26">
        <v>28</v>
      </c>
      <c r="E11" s="28">
        <f t="shared" ref="E11:E15" si="1">D11-C11</f>
        <v>5</v>
      </c>
      <c r="G11" s="66" t="s">
        <v>36</v>
      </c>
      <c r="H11" s="26">
        <v>12</v>
      </c>
      <c r="I11" s="26">
        <v>13</v>
      </c>
      <c r="J11" s="28">
        <f t="shared" ref="J11:J15" si="2">I11-H11</f>
        <v>1</v>
      </c>
    </row>
    <row r="12" spans="2:10" x14ac:dyDescent="0.3">
      <c r="B12" s="26" t="s">
        <v>19</v>
      </c>
      <c r="C12" s="26">
        <v>64</v>
      </c>
      <c r="D12" s="26">
        <v>67</v>
      </c>
      <c r="E12" s="28">
        <f t="shared" si="1"/>
        <v>3</v>
      </c>
      <c r="G12" s="66" t="s">
        <v>19</v>
      </c>
      <c r="H12" s="26">
        <v>27</v>
      </c>
      <c r="I12" s="26">
        <v>25</v>
      </c>
      <c r="J12" s="28">
        <f t="shared" si="2"/>
        <v>-2</v>
      </c>
    </row>
    <row r="13" spans="2:10" x14ac:dyDescent="0.3">
      <c r="B13" s="26" t="s">
        <v>25</v>
      </c>
      <c r="C13" s="26">
        <v>31</v>
      </c>
      <c r="D13" s="26">
        <v>32</v>
      </c>
      <c r="E13" s="28">
        <f t="shared" si="1"/>
        <v>1</v>
      </c>
      <c r="G13" s="66" t="s">
        <v>25</v>
      </c>
      <c r="H13" s="26">
        <v>6</v>
      </c>
      <c r="I13" s="26">
        <v>8</v>
      </c>
      <c r="J13" s="28">
        <f t="shared" si="2"/>
        <v>2</v>
      </c>
    </row>
    <row r="14" spans="2:10" x14ac:dyDescent="0.3">
      <c r="B14" s="26" t="s">
        <v>118</v>
      </c>
      <c r="C14" s="26">
        <v>7</v>
      </c>
      <c r="D14" s="26">
        <v>7</v>
      </c>
      <c r="E14" s="28">
        <f t="shared" si="1"/>
        <v>0</v>
      </c>
      <c r="G14" s="66" t="s">
        <v>118</v>
      </c>
      <c r="H14" s="26">
        <v>3</v>
      </c>
      <c r="I14" s="26">
        <v>4</v>
      </c>
      <c r="J14" s="28">
        <f t="shared" si="2"/>
        <v>1</v>
      </c>
    </row>
    <row r="15" spans="2:10" x14ac:dyDescent="0.3">
      <c r="B15" s="26" t="s">
        <v>141</v>
      </c>
      <c r="C15" s="26">
        <v>1</v>
      </c>
      <c r="D15" s="26">
        <v>1</v>
      </c>
      <c r="E15" s="28">
        <f t="shared" si="1"/>
        <v>0</v>
      </c>
      <c r="G15" s="66" t="s">
        <v>141</v>
      </c>
      <c r="H15" s="26">
        <v>1</v>
      </c>
      <c r="I15" s="26">
        <v>1</v>
      </c>
      <c r="J15" s="28">
        <f t="shared" si="2"/>
        <v>0</v>
      </c>
    </row>
    <row r="16" spans="2:10" x14ac:dyDescent="0.3">
      <c r="C16" s="26">
        <f>SUM(C10:C15)</f>
        <v>130</v>
      </c>
      <c r="D16" s="26">
        <f>SUM(D10:D15)</f>
        <v>141</v>
      </c>
      <c r="E16" s="28"/>
      <c r="H16" s="26">
        <f>SUM(H10:H15)</f>
        <v>51</v>
      </c>
      <c r="I16" s="26">
        <f>SUM(I10:I15)</f>
        <v>53</v>
      </c>
      <c r="J16" s="28"/>
    </row>
    <row r="18" spans="8:8" x14ac:dyDescent="0.3">
      <c r="H18">
        <f>I16+D16+D7</f>
        <v>217</v>
      </c>
    </row>
  </sheetData>
  <mergeCells count="3">
    <mergeCell ref="B2:C2"/>
    <mergeCell ref="B9:C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2km</vt:lpstr>
      <vt:lpstr>10 km</vt:lpstr>
      <vt:lpstr>20 km</vt:lpstr>
      <vt:lpstr>ORG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 spc</dc:creator>
  <cp:lastModifiedBy>Ramos Jacome Carlos Giovanni</cp:lastModifiedBy>
  <dcterms:created xsi:type="dcterms:W3CDTF">2025-11-26T15:51:56Z</dcterms:created>
  <dcterms:modified xsi:type="dcterms:W3CDTF">2025-12-13T16:21:17Z</dcterms:modified>
</cp:coreProperties>
</file>